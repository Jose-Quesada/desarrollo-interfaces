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00. Clases\Apuntes\Desarrollo_Interfaces\programación\"/>
    </mc:Choice>
  </mc:AlternateContent>
  <xr:revisionPtr revIDLastSave="0" documentId="13_ncr:1_{B3ECDF8B-7C9C-4D9E-80CD-E1CF0DEFBE8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Resumen y Calificaciones" sheetId="1" r:id="rId1"/>
    <sheet name="1er Trimestre" sheetId="2" r:id="rId2"/>
    <sheet name="2º Trimestre" sheetId="3" r:id="rId3"/>
    <sheet name="Calculo RAs" sheetId="4" r:id="rId4"/>
    <sheet name="Estructura y Ponderaciones" sheetId="5" r:id="rId5"/>
    <sheet name="Seguimiento Dual y Extra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4" l="1"/>
  <c r="I23" i="4"/>
  <c r="H23" i="4"/>
  <c r="G23" i="4"/>
  <c r="F23" i="4"/>
  <c r="E23" i="4"/>
  <c r="D23" i="4"/>
  <c r="C23" i="4"/>
  <c r="K23" i="4" s="1"/>
  <c r="J22" i="4"/>
  <c r="I22" i="4"/>
  <c r="I22" i="1" s="1"/>
  <c r="H22" i="4"/>
  <c r="G22" i="4"/>
  <c r="F22" i="4"/>
  <c r="E22" i="4"/>
  <c r="K22" i="4" s="1"/>
  <c r="D22" i="4"/>
  <c r="C22" i="4"/>
  <c r="J21" i="4"/>
  <c r="J21" i="1" s="1"/>
  <c r="I21" i="4"/>
  <c r="H21" i="4"/>
  <c r="G21" i="4"/>
  <c r="F21" i="4"/>
  <c r="F21" i="1" s="1"/>
  <c r="E21" i="4"/>
  <c r="D21" i="4"/>
  <c r="C21" i="4"/>
  <c r="K21" i="4" s="1"/>
  <c r="J20" i="4"/>
  <c r="I20" i="4"/>
  <c r="H20" i="4"/>
  <c r="G20" i="4"/>
  <c r="G20" i="1" s="1"/>
  <c r="F20" i="4"/>
  <c r="E20" i="4"/>
  <c r="D20" i="4"/>
  <c r="C20" i="4"/>
  <c r="C20" i="1" s="1"/>
  <c r="M20" i="1" s="1"/>
  <c r="J19" i="4"/>
  <c r="I19" i="4"/>
  <c r="H19" i="4"/>
  <c r="G19" i="4"/>
  <c r="F19" i="4"/>
  <c r="E19" i="4"/>
  <c r="D19" i="4"/>
  <c r="C19" i="4"/>
  <c r="K19" i="4" s="1"/>
  <c r="J18" i="4"/>
  <c r="I18" i="4"/>
  <c r="I18" i="1" s="1"/>
  <c r="H18" i="4"/>
  <c r="G18" i="4"/>
  <c r="F18" i="4"/>
  <c r="E18" i="4"/>
  <c r="K18" i="4" s="1"/>
  <c r="D18" i="4"/>
  <c r="C18" i="4"/>
  <c r="J17" i="4"/>
  <c r="J17" i="1" s="1"/>
  <c r="I17" i="4"/>
  <c r="H17" i="4"/>
  <c r="G17" i="4"/>
  <c r="F17" i="4"/>
  <c r="F17" i="1" s="1"/>
  <c r="E17" i="4"/>
  <c r="D17" i="4"/>
  <c r="C17" i="4"/>
  <c r="K17" i="4" s="1"/>
  <c r="J16" i="4"/>
  <c r="I16" i="4"/>
  <c r="H16" i="4"/>
  <c r="G16" i="4"/>
  <c r="G16" i="1" s="1"/>
  <c r="F16" i="4"/>
  <c r="E16" i="4"/>
  <c r="D16" i="4"/>
  <c r="C16" i="4"/>
  <c r="C16" i="1" s="1"/>
  <c r="J15" i="4"/>
  <c r="I15" i="4"/>
  <c r="H15" i="4"/>
  <c r="G15" i="4"/>
  <c r="F15" i="4"/>
  <c r="E15" i="4"/>
  <c r="D15" i="4"/>
  <c r="C15" i="4"/>
  <c r="K15" i="4" s="1"/>
  <c r="J14" i="4"/>
  <c r="I14" i="4"/>
  <c r="I14" i="1" s="1"/>
  <c r="H14" i="4"/>
  <c r="G14" i="4"/>
  <c r="F14" i="4"/>
  <c r="E14" i="4"/>
  <c r="K14" i="4" s="1"/>
  <c r="D14" i="4"/>
  <c r="C14" i="4"/>
  <c r="J13" i="4"/>
  <c r="J13" i="1" s="1"/>
  <c r="I13" i="4"/>
  <c r="H13" i="4"/>
  <c r="G13" i="4"/>
  <c r="F13" i="4"/>
  <c r="F13" i="1" s="1"/>
  <c r="E13" i="4"/>
  <c r="D13" i="4"/>
  <c r="C13" i="4"/>
  <c r="K13" i="4" s="1"/>
  <c r="J12" i="4"/>
  <c r="I12" i="4"/>
  <c r="H12" i="4"/>
  <c r="G12" i="4"/>
  <c r="G24" i="4" s="1"/>
  <c r="F12" i="4"/>
  <c r="E12" i="4"/>
  <c r="D12" i="4"/>
  <c r="C12" i="4"/>
  <c r="C24" i="4" s="1"/>
  <c r="J11" i="4"/>
  <c r="I11" i="4"/>
  <c r="H11" i="4"/>
  <c r="G11" i="4"/>
  <c r="F11" i="4"/>
  <c r="E11" i="4"/>
  <c r="D11" i="4"/>
  <c r="C11" i="4"/>
  <c r="K11" i="4" s="1"/>
  <c r="J10" i="4"/>
  <c r="I10" i="4"/>
  <c r="I10" i="1" s="1"/>
  <c r="H10" i="4"/>
  <c r="G10" i="4"/>
  <c r="F10" i="4"/>
  <c r="E10" i="4"/>
  <c r="K10" i="4" s="1"/>
  <c r="D10" i="4"/>
  <c r="C10" i="4"/>
  <c r="J9" i="4"/>
  <c r="J24" i="4" s="1"/>
  <c r="I9" i="4"/>
  <c r="I24" i="4" s="1"/>
  <c r="H9" i="4"/>
  <c r="H24" i="4" s="1"/>
  <c r="G9" i="4"/>
  <c r="F9" i="4"/>
  <c r="F24" i="4" s="1"/>
  <c r="E9" i="4"/>
  <c r="E24" i="4" s="1"/>
  <c r="D9" i="4"/>
  <c r="D24" i="4" s="1"/>
  <c r="C9" i="4"/>
  <c r="K9" i="4" s="1"/>
  <c r="J24" i="3"/>
  <c r="I24" i="3"/>
  <c r="H24" i="3"/>
  <c r="G24" i="3"/>
  <c r="F24" i="3"/>
  <c r="E24" i="3"/>
  <c r="D24" i="3"/>
  <c r="C24" i="3"/>
  <c r="K23" i="3"/>
  <c r="K22" i="3"/>
  <c r="K21" i="3"/>
  <c r="K20" i="3"/>
  <c r="K19" i="3"/>
  <c r="K18" i="3"/>
  <c r="K17" i="3"/>
  <c r="K16" i="3"/>
  <c r="K15" i="3"/>
  <c r="K14" i="3"/>
  <c r="K13" i="3"/>
  <c r="K12" i="3"/>
  <c r="K24" i="3" s="1"/>
  <c r="K11" i="3"/>
  <c r="K10" i="3"/>
  <c r="K9" i="3"/>
  <c r="I24" i="2"/>
  <c r="H24" i="2"/>
  <c r="G24" i="2"/>
  <c r="F24" i="2"/>
  <c r="E24" i="2"/>
  <c r="D24" i="2"/>
  <c r="C24" i="2"/>
  <c r="J23" i="2"/>
  <c r="K23" i="1" s="1"/>
  <c r="J22" i="2"/>
  <c r="J21" i="2"/>
  <c r="J20" i="2"/>
  <c r="J19" i="2"/>
  <c r="K19" i="1" s="1"/>
  <c r="J18" i="2"/>
  <c r="J17" i="2"/>
  <c r="J16" i="2"/>
  <c r="J15" i="2"/>
  <c r="K15" i="1" s="1"/>
  <c r="J14" i="2"/>
  <c r="J13" i="2"/>
  <c r="K13" i="1" s="1"/>
  <c r="J12" i="2"/>
  <c r="J11" i="2"/>
  <c r="K11" i="1" s="1"/>
  <c r="J10" i="2"/>
  <c r="J9" i="2"/>
  <c r="L23" i="1"/>
  <c r="J23" i="1"/>
  <c r="I23" i="1"/>
  <c r="H23" i="1"/>
  <c r="G23" i="1"/>
  <c r="F23" i="1"/>
  <c r="E23" i="1"/>
  <c r="D23" i="1"/>
  <c r="C23" i="1"/>
  <c r="M23" i="1" s="1"/>
  <c r="L22" i="1"/>
  <c r="K22" i="1"/>
  <c r="J22" i="1"/>
  <c r="H22" i="1"/>
  <c r="G22" i="1"/>
  <c r="F22" i="1"/>
  <c r="D22" i="1"/>
  <c r="C22" i="1"/>
  <c r="L21" i="1"/>
  <c r="K21" i="1"/>
  <c r="I21" i="1"/>
  <c r="H21" i="1"/>
  <c r="G21" i="1"/>
  <c r="E21" i="1"/>
  <c r="D21" i="1"/>
  <c r="C21" i="1"/>
  <c r="M21" i="1" s="1"/>
  <c r="L20" i="1"/>
  <c r="K20" i="1"/>
  <c r="J20" i="1"/>
  <c r="I20" i="1"/>
  <c r="H20" i="1"/>
  <c r="F20" i="1"/>
  <c r="E20" i="1"/>
  <c r="D20" i="1"/>
  <c r="L19" i="1"/>
  <c r="J19" i="1"/>
  <c r="I19" i="1"/>
  <c r="H19" i="1"/>
  <c r="G19" i="1"/>
  <c r="F19" i="1"/>
  <c r="E19" i="1"/>
  <c r="D19" i="1"/>
  <c r="C19" i="1"/>
  <c r="M19" i="1" s="1"/>
  <c r="L18" i="1"/>
  <c r="K18" i="1"/>
  <c r="J18" i="1"/>
  <c r="H18" i="1"/>
  <c r="G18" i="1"/>
  <c r="F18" i="1"/>
  <c r="D18" i="1"/>
  <c r="C18" i="1"/>
  <c r="L17" i="1"/>
  <c r="K17" i="1"/>
  <c r="I17" i="1"/>
  <c r="H17" i="1"/>
  <c r="G17" i="1"/>
  <c r="E17" i="1"/>
  <c r="D17" i="1"/>
  <c r="C17" i="1"/>
  <c r="M17" i="1" s="1"/>
  <c r="L16" i="1"/>
  <c r="K16" i="1"/>
  <c r="J16" i="1"/>
  <c r="I16" i="1"/>
  <c r="H16" i="1"/>
  <c r="F16" i="1"/>
  <c r="E16" i="1"/>
  <c r="D16" i="1"/>
  <c r="L15" i="1"/>
  <c r="J15" i="1"/>
  <c r="I15" i="1"/>
  <c r="H15" i="1"/>
  <c r="G15" i="1"/>
  <c r="F15" i="1"/>
  <c r="E15" i="1"/>
  <c r="D15" i="1"/>
  <c r="C15" i="1"/>
  <c r="M15" i="1" s="1"/>
  <c r="L14" i="1"/>
  <c r="K14" i="1"/>
  <c r="J14" i="1"/>
  <c r="H14" i="1"/>
  <c r="G14" i="1"/>
  <c r="F14" i="1"/>
  <c r="D14" i="1"/>
  <c r="C14" i="1"/>
  <c r="L13" i="1"/>
  <c r="I13" i="1"/>
  <c r="H13" i="1"/>
  <c r="G13" i="1"/>
  <c r="E13" i="1"/>
  <c r="D13" i="1"/>
  <c r="C13" i="1"/>
  <c r="L12" i="1"/>
  <c r="K12" i="1"/>
  <c r="J12" i="1"/>
  <c r="I12" i="1"/>
  <c r="H12" i="1"/>
  <c r="F12" i="1"/>
  <c r="E12" i="1"/>
  <c r="D12" i="1"/>
  <c r="L11" i="1"/>
  <c r="J11" i="1"/>
  <c r="I11" i="1"/>
  <c r="H11" i="1"/>
  <c r="G11" i="1"/>
  <c r="F11" i="1"/>
  <c r="E11" i="1"/>
  <c r="D11" i="1"/>
  <c r="C11" i="1"/>
  <c r="M11" i="1" s="1"/>
  <c r="L10" i="1"/>
  <c r="K10" i="1"/>
  <c r="J10" i="1"/>
  <c r="H10" i="1"/>
  <c r="G10" i="1"/>
  <c r="F10" i="1"/>
  <c r="D10" i="1"/>
  <c r="C10" i="1"/>
  <c r="L9" i="1"/>
  <c r="L24" i="1" s="1"/>
  <c r="K9" i="1"/>
  <c r="I9" i="1"/>
  <c r="H9" i="1"/>
  <c r="H24" i="1" s="1"/>
  <c r="G9" i="1"/>
  <c r="E9" i="1"/>
  <c r="D9" i="1"/>
  <c r="D24" i="1" s="1"/>
  <c r="C9" i="1"/>
  <c r="B5" i="1"/>
  <c r="G24" i="1" l="1"/>
  <c r="C7" i="6"/>
  <c r="N11" i="1"/>
  <c r="C13" i="6"/>
  <c r="N17" i="1"/>
  <c r="N15" i="1"/>
  <c r="C11" i="6"/>
  <c r="N21" i="1"/>
  <c r="C17" i="6"/>
  <c r="I24" i="1"/>
  <c r="M16" i="1"/>
  <c r="C19" i="6"/>
  <c r="N23" i="1"/>
  <c r="M13" i="1"/>
  <c r="C15" i="6"/>
  <c r="N19" i="1"/>
  <c r="C24" i="1"/>
  <c r="C16" i="6"/>
  <c r="N20" i="1"/>
  <c r="K24" i="1"/>
  <c r="J24" i="2"/>
  <c r="K12" i="4"/>
  <c r="K24" i="4" s="1"/>
  <c r="K16" i="4"/>
  <c r="K20" i="4"/>
  <c r="C12" i="1"/>
  <c r="M12" i="1" s="1"/>
  <c r="E10" i="1"/>
  <c r="E24" i="1" s="1"/>
  <c r="E14" i="1"/>
  <c r="M14" i="1" s="1"/>
  <c r="E18" i="1"/>
  <c r="M18" i="1" s="1"/>
  <c r="E22" i="1"/>
  <c r="M22" i="1" s="1"/>
  <c r="F9" i="1"/>
  <c r="F24" i="1" s="1"/>
  <c r="G12" i="1"/>
  <c r="J9" i="1"/>
  <c r="J24" i="1" s="1"/>
  <c r="C18" i="6" l="1"/>
  <c r="N22" i="1"/>
  <c r="N18" i="1"/>
  <c r="C14" i="6"/>
  <c r="C10" i="6"/>
  <c r="N14" i="1"/>
  <c r="N12" i="1"/>
  <c r="C8" i="6"/>
  <c r="H16" i="6"/>
  <c r="G16" i="6"/>
  <c r="J16" i="6"/>
  <c r="J15" i="6"/>
  <c r="H15" i="6"/>
  <c r="G15" i="6"/>
  <c r="H13" i="6"/>
  <c r="G13" i="6"/>
  <c r="J13" i="6"/>
  <c r="J7" i="6"/>
  <c r="H7" i="6"/>
  <c r="G7" i="6"/>
  <c r="J17" i="6"/>
  <c r="H17" i="6"/>
  <c r="G17" i="6"/>
  <c r="J19" i="6"/>
  <c r="H19" i="6"/>
  <c r="G19" i="6"/>
  <c r="J11" i="6"/>
  <c r="H11" i="6"/>
  <c r="G11" i="6"/>
  <c r="C9" i="6"/>
  <c r="N13" i="1"/>
  <c r="C12" i="6"/>
  <c r="N16" i="1"/>
  <c r="M10" i="1"/>
  <c r="M9" i="1"/>
  <c r="E5" i="1" l="1"/>
  <c r="N9" i="1"/>
  <c r="K5" i="1"/>
  <c r="C5" i="6"/>
  <c r="M24" i="1"/>
  <c r="H5" i="1"/>
  <c r="C6" i="6"/>
  <c r="N10" i="1"/>
  <c r="J12" i="6"/>
  <c r="H12" i="6"/>
  <c r="G12" i="6"/>
  <c r="J8" i="6"/>
  <c r="H8" i="6"/>
  <c r="G8" i="6"/>
  <c r="H10" i="6"/>
  <c r="G10" i="6"/>
  <c r="J10" i="6"/>
  <c r="J14" i="6"/>
  <c r="H14" i="6"/>
  <c r="G14" i="6"/>
  <c r="J9" i="6"/>
  <c r="H9" i="6"/>
  <c r="G9" i="6"/>
  <c r="J18" i="6"/>
  <c r="H18" i="6"/>
  <c r="G18" i="6"/>
  <c r="J6" i="6" l="1"/>
  <c r="H6" i="6"/>
  <c r="G6" i="6"/>
  <c r="J5" i="6"/>
  <c r="H5" i="6"/>
  <c r="G5" i="6"/>
</calcChain>
</file>

<file path=xl/sharedStrings.xml><?xml version="1.0" encoding="utf-8"?>
<sst xmlns="http://schemas.openxmlformats.org/spreadsheetml/2006/main" count="270" uniqueCount="162">
  <si>
    <t>DESARROLLO DE INTERFACES (2º DAM) — CUADRO DE CALIFICACIONES Y SEGUIMIENTO</t>
  </si>
  <si>
    <t>Curso 2025/2026 | IES / Centro Educativo | Módulo: 0488 (210 h - Dual) | Decreto 104/2024 &amp; Orden 18/09/2025</t>
  </si>
  <si>
    <t>ALUMNADO MATRICULADO</t>
  </si>
  <si>
    <t>APROBADOS EVAL. ORDINARIA</t>
  </si>
  <si>
    <t>SUSPENSOS EVAL. ORDINARIA</t>
  </si>
  <si>
    <t>NOTA MEDIA DEL GRUPO</t>
  </si>
  <si>
    <t>Nº</t>
  </si>
  <si>
    <t>Apellidos, Nombre</t>
  </si>
  <si>
    <t>RA1
(22%)
UX/Figma</t>
  </si>
  <si>
    <t>RA2
(16%)
NUI/Voz</t>
  </si>
  <si>
    <t>RA3
(20%)
Angular</t>
  </si>
  <si>
    <t>RA4
(11%)
A11y</t>
  </si>
  <si>
    <t>RA5
(4%)
Informes</t>
  </si>
  <si>
    <t>RA6
(7%)
Docum.</t>
  </si>
  <si>
    <t>RA7
(10%)
Electron</t>
  </si>
  <si>
    <t>RA8
(10%)
Pruebas</t>
  </si>
  <si>
    <t>1º Trim
(T1)</t>
  </si>
  <si>
    <t>2º Trim
(T2)</t>
  </si>
  <si>
    <t>Nota Final
Ordinaria (Marzo)</t>
  </si>
  <si>
    <t>Estado / Calificación</t>
  </si>
  <si>
    <t>Álvarez Gómez, Laura</t>
  </si>
  <si>
    <t>Benítez Romero, Carlos</t>
  </si>
  <si>
    <t>Castillo Morales, Elena</t>
  </si>
  <si>
    <t>Delgado Santos, Alejandro</t>
  </si>
  <si>
    <t>Fernández Navarro, Lucía</t>
  </si>
  <si>
    <t>García Serrano, David</t>
  </si>
  <si>
    <t>Herrera Cruz, Marta</t>
  </si>
  <si>
    <t>Jiménez Ortiz, Pablo</t>
  </si>
  <si>
    <t>López Molina, Sara</t>
  </si>
  <si>
    <t>Martín Vega, Javier</t>
  </si>
  <si>
    <t>Navarro Gil, Ana</t>
  </si>
  <si>
    <t>Pérez Rubio, Álvaro</t>
  </si>
  <si>
    <t>Ramírez Soto, Carmen</t>
  </si>
  <si>
    <t>Sánchez Vidal, Daniel</t>
  </si>
  <si>
    <t>Torres Lozano, Irene</t>
  </si>
  <si>
    <t>PROMEDIO DEL GRUPO</t>
  </si>
  <si>
    <t>1º TRIMESTRE — DESARROLLO DE INTERFACES (UD00 a UD11)</t>
  </si>
  <si>
    <t>Bloque I &amp; II: Fundamentos UX, Figma, NUI/Voz, Tailwind CSS v4, Responsive y Arquitectura Angular Standalone</t>
  </si>
  <si>
    <t>UD01, UD04</t>
  </si>
  <si>
    <t>UD03</t>
  </si>
  <si>
    <t>UD05, UD06, UD07</t>
  </si>
  <si>
    <t>UD02, UD08</t>
  </si>
  <si>
    <t>UD09, UD10, UD11</t>
  </si>
  <si>
    <t>UD01 a UD11</t>
  </si>
  <si>
    <t>Transversal</t>
  </si>
  <si>
    <t>Ponderación 100%</t>
  </si>
  <si>
    <t>RA1 (CE1.a, CE1.b, CE1.c)</t>
  </si>
  <si>
    <t>RA2 (CE2.a, CE2.b, CE2.e)</t>
  </si>
  <si>
    <t>RA1 (CE1.d, CE1.e, CE1.f)</t>
  </si>
  <si>
    <t>RA4 (CE4.a, CE4.b, CE4.c)</t>
  </si>
  <si>
    <t>RA3 (CE3.a, CE3.b, CE3.c)</t>
  </si>
  <si>
    <t>RA1, RA2, RA3, RA4</t>
  </si>
  <si>
    <t>Buenas prácticas</t>
  </si>
  <si>
    <t>Nota T1</t>
  </si>
  <si>
    <t>Actividad 1 (15%)
Prototipado Figma UX</t>
  </si>
  <si>
    <t>Actividad 2 (15%)
NUI &amp; Web Speech API</t>
  </si>
  <si>
    <t>Actividad 3 (15%)
Layouts Grid &amp; Tailwind</t>
  </si>
  <si>
    <t>Actividad 4 (15%)
Accesibilidad &amp; Responsive</t>
  </si>
  <si>
    <t>Actividad 5 (15%)
Componentes Angular Signals</t>
  </si>
  <si>
    <t>Examen Práctico T1 (25%)
Desarrollo UI Completa</t>
  </si>
  <si>
    <t>Actitud y Git (10%)
Control Versiones y DUA</t>
  </si>
  <si>
    <t>CALIFICACIÓN
1º TRIMESTRE</t>
  </si>
  <si>
    <t>PROMEDIO DEL GRUPO (T1)</t>
  </si>
  <si>
    <t>2º TRIMESTRE — DESARROLLO DE INTERFACES (UD12 a UD22)</t>
  </si>
  <si>
    <t>Bloque III &amp; IV: Formularios, Storybook, Informes/Dashboards, Pruebas Vitest/Playwright, Electron y Proyecto GesFlow</t>
  </si>
  <si>
    <t>UD12</t>
  </si>
  <si>
    <t>UD13, UD14, UD15</t>
  </si>
  <si>
    <t>UD16, UD17</t>
  </si>
  <si>
    <t>UD19</t>
  </si>
  <si>
    <t>UD20, UD21</t>
  </si>
  <si>
    <t>UD22</t>
  </si>
  <si>
    <t>UD12 a UD21</t>
  </si>
  <si>
    <t>RA3, RA4 (CE3.f, CE4.b)</t>
  </si>
  <si>
    <t>RA3, RA6 (CE3.e, CE6.c)</t>
  </si>
  <si>
    <t>RA5 (CE5.a, CE5.b, CE5.c, CE5.d)</t>
  </si>
  <si>
    <t>RA8 (CE8.b, CE8.c, CE8.d)</t>
  </si>
  <si>
    <t>RA7 (CE7.a, CE7.b, CE7.c, CE7.d)</t>
  </si>
  <si>
    <t>RA1 a RA8 Integrados</t>
  </si>
  <si>
    <t>RA3, RA5, RA7, RA8</t>
  </si>
  <si>
    <t>Nota T2</t>
  </si>
  <si>
    <t>Actividad 6 (10%)
Formularios &amp; A11y</t>
  </si>
  <si>
    <t>Actividad 7 (10%)
Storybook &amp; Tokens</t>
  </si>
  <si>
    <t>Actividad 8 (10%)
Informes PDF &amp; Dashboards</t>
  </si>
  <si>
    <t>Actividad 9 (10%)
Pruebas Vitest &amp; Playwright</t>
  </si>
  <si>
    <t>Actividad 10 (10%)
Escritorio Electron &amp; IPC</t>
  </si>
  <si>
    <t>Proyecto Final (30%)
GesFlow Integrador</t>
  </si>
  <si>
    <t>Examen Práctico T2 (15%)
Prueba Desarrollo Global</t>
  </si>
  <si>
    <t>Actitud y Git (5%)
Calidad &amp; Despliegue</t>
  </si>
  <si>
    <t>CALIFICACIÓN
2º TRIMESTRE</t>
  </si>
  <si>
    <t>PROMEDIO DEL GRUPO (T2)</t>
  </si>
  <si>
    <t>DESGLOSE Y CÁLCULO POR RESULTADOS DE APRENDIZAJE (RA1 a RA8)</t>
  </si>
  <si>
    <t>Fórmulas vinculadas a las tareas de T1 y T2 según Criterios de Evaluación evaluados en cada actividad</t>
  </si>
  <si>
    <t>RA1 (22%)
Diseño UI, Figma
Tailwind, Grid</t>
  </si>
  <si>
    <t>RA2 (16%)
Interfaces NUI
Voz &amp; Gestos</t>
  </si>
  <si>
    <t>RA3 (20%)
Componentes
Angular Standalone</t>
  </si>
  <si>
    <t>RA4 (11%)
Accesibilidad
Universal WCAG</t>
  </si>
  <si>
    <t>RA5 (4%)
Informes PDF
y Cuadros Mando</t>
  </si>
  <si>
    <t>RA6 (7%)
Documentación
y Storybook</t>
  </si>
  <si>
    <t>RA7 (10%)
Electron Desktop
y Distribución</t>
  </si>
  <si>
    <t>RA8 (10%)
Pruebas Vitest
y Playwright</t>
  </si>
  <si>
    <t>CALIFICACIÓN FINAL
ORDINARIA (100%)</t>
  </si>
  <si>
    <t>MATRIZ DE RESULTADOS DE APRENDIZAJE, CRITERIOS Y UNIDADES DIDÁCTICAS</t>
  </si>
  <si>
    <t>Resultado de Aprendizaje (RA)</t>
  </si>
  <si>
    <t>Pond. RA</t>
  </si>
  <si>
    <t>Criterios de Evaluación (CE)</t>
  </si>
  <si>
    <t>Unidades Didácticas (UD)</t>
  </si>
  <si>
    <t>Actividades e Instrumentos de Evaluación</t>
  </si>
  <si>
    <t>Trimestre</t>
  </si>
  <si>
    <t>RA1: Confecciona interfaces gráficas aplicando metodologías de diseño y usabilidad.</t>
  </si>
  <si>
    <t>22%</t>
  </si>
  <si>
    <t>CE1.a a CE1.f:
Elementos UI, UX, Wireframes, Figma, Guías estilo, CSS Grid, Tailwind.</t>
  </si>
  <si>
    <t>UD00, UD01, UD04, UD05, UD06, UD07, UD08, UD13, UD15</t>
  </si>
  <si>
    <t>Actividad 1 (Figma), Actividad 3 (Tailwind/Grid), Examen T1, GesFlow</t>
  </si>
  <si>
    <t>T1 / T2</t>
  </si>
  <si>
    <t>RA2: Confecciona interfaces de usuario utilizando interfaces naturales (NUI, voz, gestos).</t>
  </si>
  <si>
    <t>16%</t>
  </si>
  <si>
    <t>CE2.a a CE2.e:
Conceptos NUI, Web Speech API, MediaPipe gestos, WebXR / 3D, barreras.</t>
  </si>
  <si>
    <t>Actividad 2 (NUI &amp; Speech), Examen T1, GesFlow</t>
  </si>
  <si>
    <t>T1</t>
  </si>
  <si>
    <t>RA3: Crea componentes visuales estándar y reutilizables en librerías.</t>
  </si>
  <si>
    <t>20%</t>
  </si>
  <si>
    <t>CE3.a a CE3.f:
Angular Standalone, Atomic Design, Signals, Directivas, Storybook, Forms reactivos.</t>
  </si>
  <si>
    <t>UD07, UD09, UD10, UD11, UD12, UD13, UD14, UD15</t>
  </si>
  <si>
    <t>Actividad 5 (Angular), Actividad 6 (Forms), Actividad 7 (Storybook), GesFlow</t>
  </si>
  <si>
    <t>RA4: Diseña interfaces accesibles y amigables verificando normativas.</t>
  </si>
  <si>
    <t>11%</t>
  </si>
  <si>
    <t>CE4.a a CE4.e:
WCAG 2.2 (A/AA/AAA), WAI-ARIA, navegación teclado, contraste, Axe Core, NVDA.</t>
  </si>
  <si>
    <t>UD02, UD08, UD12</t>
  </si>
  <si>
    <t>Actividad 4 (A11y), Actividad 6 (Forms A11y), Auditoría GesFlow</t>
  </si>
  <si>
    <t>RA5: Crea informes y cuadros de mando interactivos integrando datos y gráficos.</t>
  </si>
  <si>
    <t>4%</t>
  </si>
  <si>
    <t>CE5.a a CE5.d:
jsPDF, SheetJS (XLSX), Dashboards con Chart.js, filtros y exportación.</t>
  </si>
  <si>
    <t>Actividad 8 (Informes &amp; Dashboards), Módulo Informes GesFlow</t>
  </si>
  <si>
    <t>T2</t>
  </si>
  <si>
    <t>RA6: Elabora la documentación técnica y de usuario de la interfaz.</t>
  </si>
  <si>
    <t>7%</t>
  </si>
  <si>
    <t>CE6.a a CE6.d:
Manuales usuario, arquitectura, Compodoc/Typedoc, Zensical/Markdown.</t>
  </si>
  <si>
    <t>UD14, UD18</t>
  </si>
  <si>
    <t>Actividad 7 (Storybook Doc), Manual GesFlow, Documentación Zensical</t>
  </si>
  <si>
    <t>RA7: Prepara aplicaciones para su distribución empaquetando para escritorio.</t>
  </si>
  <si>
    <t>10%</t>
  </si>
  <si>
    <t>CE7.a a CE7.e:
Electron, IPC seguro (Preload/Context Isolation), Forge/Builder, instaladores.</t>
  </si>
  <si>
    <t>Actividad 10 (Electron), Empaquetado GesFlow Desktop</t>
  </si>
  <si>
    <t>RA8: Realiza pruebas unitarias, de integración y E2E evaluando robustez.</t>
  </si>
  <si>
    <t>CE8.a a CE8.e:
Estrategia de tests, Vitest, Testing Library, Playwright E2E, Core Web Vitals.</t>
  </si>
  <si>
    <t>Actividad 9 (Vitest/Playwright), Suite Pruebas GesFlow</t>
  </si>
  <si>
    <t>TOTAL PONDERACIÓN DEL MÓDULO</t>
  </si>
  <si>
    <t>100%</t>
  </si>
  <si>
    <t>FASE DE FORMACIÓN DUAL EN EMPRESA (T3 - 86 h) Y CONVOCATORIA EXTRAORDINARIA</t>
  </si>
  <si>
    <t>Orden de 26 de septiembre de 2025 (Dual Andalucía) | Periodo en Empresa: Marzo a Junio 2026</t>
  </si>
  <si>
    <t>Nota Ordinaria
(Marzo)</t>
  </si>
  <si>
    <t>Empresa Asignada</t>
  </si>
  <si>
    <t>Tutor/a Laboral</t>
  </si>
  <si>
    <t>Horas Dual
(Módulo 86 h)</t>
  </si>
  <si>
    <t>Valoración Empresa
(Apto / No Apto)</t>
  </si>
  <si>
    <t>RAs Pendientes
(Extraordinaria)</t>
  </si>
  <si>
    <t>Nota Convocatoria
Extraordinaria (Junio)</t>
  </si>
  <si>
    <t>Calificación Definitiva
Curso Académico</t>
  </si>
  <si>
    <t>SoftAndalucía Dev Group</t>
  </si>
  <si>
    <t>Dra. Beatriz Cano</t>
  </si>
  <si>
    <t>Innovatech Solutions S.L.</t>
  </si>
  <si>
    <t>Ing. Manuel Rivas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</si>
</sst>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CBD5E1"/>
      <name val="Segoe UI"/>
    </font>
    <font>
      <b/>
      <sz val="9"/>
      <color rgb="FF64748B"/>
      <name val="Segoe UI"/>
    </font>
    <font>
      <b/>
      <sz val="16"/>
      <color rgb="FF1E293B"/>
      <name val="Segoe UI"/>
    </font>
    <font>
      <b/>
      <sz val="16"/>
      <color rgb="FF15803D"/>
      <name val="Segoe UI"/>
    </font>
    <font>
      <b/>
      <sz val="16"/>
      <color rgb="FFDC2626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1E293B"/>
      <name val="Segoe UI"/>
    </font>
    <font>
      <b/>
      <sz val="8"/>
      <color rgb="FF64748B"/>
      <name val="Segoe UI"/>
    </font>
    <font>
      <i/>
      <sz val="8"/>
      <color rgb="FF475569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1D4ED8"/>
        <bgColor rgb="FF1D4ED8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  <fill>
      <patternFill patternType="solid">
        <fgColor rgb="FFCCFBF1"/>
        <bgColor rgb="FFCCFBF1"/>
      </patternFill>
    </fill>
    <fill>
      <patternFill patternType="solid">
        <fgColor rgb="FFF8FAFC"/>
        <bgColor rgb="FFF8FAFC"/>
      </patternFill>
    </fill>
    <fill>
      <patternFill patternType="solid">
        <fgColor rgb="FFF0FDFA"/>
        <bgColor rgb="FFF0FDFA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6B21A8"/>
        <bgColor rgb="FF6B21A8"/>
      </patternFill>
    </fill>
    <fill>
      <patternFill patternType="solid">
        <fgColor rgb="FFC2410C"/>
        <bgColor rgb="FFC2410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center" vertical="center" wrapText="1"/>
    </xf>
    <xf numFmtId="2" fontId="9" fillId="11" borderId="2" xfId="0" applyNumberFormat="1" applyFont="1" applyFill="1" applyBorder="1" applyAlignment="1">
      <alignment horizontal="center" vertical="center" wrapText="1"/>
    </xf>
    <xf numFmtId="2" fontId="10" fillId="7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center"/>
    </xf>
    <xf numFmtId="2" fontId="8" fillId="12" borderId="2" xfId="0" applyNumberFormat="1" applyFont="1" applyFill="1" applyBorder="1" applyAlignment="1">
      <alignment horizontal="center" vertical="center" wrapText="1"/>
    </xf>
    <xf numFmtId="2" fontId="9" fillId="13" borderId="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2" fontId="9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/>
    <xf numFmtId="0" fontId="11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2" fontId="9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center" vertical="center" wrapText="1"/>
    </xf>
    <xf numFmtId="2" fontId="9" fillId="5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10" fillId="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2" fontId="4" fillId="7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15803D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A7" workbookViewId="0">
      <selection sqref="A1:N1"/>
    </sheetView>
  </sheetViews>
  <sheetFormatPr baseColWidth="10" defaultColWidth="8.88671875" defaultRowHeight="14.4"/>
  <cols>
    <col min="1" max="1" width="5" customWidth="1"/>
    <col min="2" max="2" width="25" customWidth="1"/>
    <col min="3" max="10" width="9" customWidth="1"/>
    <col min="11" max="12" width="10" customWidth="1"/>
    <col min="13" max="13" width="16" customWidth="1"/>
    <col min="14" max="14" width="18" customWidth="1"/>
  </cols>
  <sheetData>
    <row r="1" spans="1:14" ht="40.049999999999997" customHeight="1">
      <c r="A1" s="38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2.05" customHeight="1">
      <c r="A2" s="33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spans="1:14">
      <c r="B4" s="29" t="s">
        <v>2</v>
      </c>
      <c r="C4" s="30"/>
      <c r="E4" s="29" t="s">
        <v>3</v>
      </c>
      <c r="F4" s="30"/>
      <c r="H4" s="29" t="s">
        <v>4</v>
      </c>
      <c r="I4" s="30"/>
      <c r="K4" s="29" t="s">
        <v>5</v>
      </c>
      <c r="L4" s="30"/>
    </row>
    <row r="5" spans="1:14">
      <c r="B5" s="34">
        <f>COUNTA(A9:A23)</f>
        <v>15</v>
      </c>
      <c r="C5" s="30"/>
      <c r="E5" s="35">
        <f>COUNTIF(M9:M23, "&gt;=5")</f>
        <v>13</v>
      </c>
      <c r="F5" s="30"/>
      <c r="H5" s="37">
        <f>COUNTIF(M9:M23, "&lt;5")</f>
        <v>2</v>
      </c>
      <c r="I5" s="30"/>
      <c r="K5" s="36">
        <f>AVERAGE(M9:M23)</f>
        <v>7.6219444444444457</v>
      </c>
      <c r="L5" s="30"/>
    </row>
    <row r="6" spans="1:14">
      <c r="B6" s="30"/>
      <c r="C6" s="30"/>
      <c r="E6" s="30"/>
      <c r="F6" s="30"/>
      <c r="H6" s="30"/>
      <c r="I6" s="30"/>
      <c r="K6" s="30"/>
      <c r="L6" s="30"/>
    </row>
    <row r="8" spans="1:14" ht="42" customHeight="1">
      <c r="A8" s="1" t="s">
        <v>6</v>
      </c>
      <c r="B8" s="1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3" t="s">
        <v>16</v>
      </c>
      <c r="L8" s="3" t="s">
        <v>17</v>
      </c>
      <c r="M8" s="4" t="s">
        <v>18</v>
      </c>
      <c r="N8" s="4" t="s">
        <v>19</v>
      </c>
    </row>
    <row r="9" spans="1:14" ht="19.95" customHeight="1">
      <c r="A9" s="5">
        <v>1</v>
      </c>
      <c r="B9" s="6" t="s">
        <v>20</v>
      </c>
      <c r="C9" s="7">
        <f>'Calculo RAs'!C9</f>
        <v>8.5</v>
      </c>
      <c r="D9" s="7">
        <f>'Calculo RAs'!D9</f>
        <v>8.8333333333333339</v>
      </c>
      <c r="E9" s="7">
        <f>'Calculo RAs'!E9</f>
        <v>8.8000000000000007</v>
      </c>
      <c r="F9" s="7">
        <f>'Calculo RAs'!F9</f>
        <v>8.6666666666666661</v>
      </c>
      <c r="G9" s="7">
        <f>'Calculo RAs'!G9</f>
        <v>8.6666666666666661</v>
      </c>
      <c r="H9" s="7">
        <f>'Calculo RAs'!H9</f>
        <v>9</v>
      </c>
      <c r="I9" s="7">
        <f>'Calculo RAs'!I9</f>
        <v>8.6666666666666661</v>
      </c>
      <c r="J9" s="7">
        <f>'Calculo RAs'!J9</f>
        <v>8.8333333333333339</v>
      </c>
      <c r="K9" s="8">
        <f>'1er Trimestre'!J9</f>
        <v>9.4249999999999989</v>
      </c>
      <c r="L9" s="8">
        <f>'2º Trimestre'!K9</f>
        <v>8.7749999999999986</v>
      </c>
      <c r="M9" s="9">
        <f t="shared" ref="M9:M23" si="0">C9*0.22 + D9*0.16 + E9*0.2 + F9*0.11 + G9*0.04 + H9*0.07 + I9*0.1 + J9*0.1</f>
        <v>8.7233333333333327</v>
      </c>
      <c r="N9" s="10" t="str">
        <f t="shared" ref="N9:N23" si="1">IF(M9&gt;=9, "SOBRESALIENTE", IF(M9&gt;=7, "NOTABLE", IF(M9&gt;=6, "BIEN", IF(M9&gt;=5, "SUFICIENTE", "INSUFICIENTE"))))</f>
        <v>NOTABLE</v>
      </c>
    </row>
    <row r="10" spans="1:14" ht="19.95" customHeight="1">
      <c r="A10" s="11">
        <v>2</v>
      </c>
      <c r="B10" s="12" t="s">
        <v>21</v>
      </c>
      <c r="C10" s="13">
        <f>'Calculo RAs'!C10</f>
        <v>6.25</v>
      </c>
      <c r="D10" s="13">
        <f>'Calculo RAs'!D10</f>
        <v>6</v>
      </c>
      <c r="E10" s="13">
        <f>'Calculo RAs'!E10</f>
        <v>6.2</v>
      </c>
      <c r="F10" s="13">
        <f>'Calculo RAs'!F10</f>
        <v>6.666666666666667</v>
      </c>
      <c r="G10" s="13">
        <f>'Calculo RAs'!G10</f>
        <v>6.5</v>
      </c>
      <c r="H10" s="13">
        <f>'Calculo RAs'!H10</f>
        <v>6.25</v>
      </c>
      <c r="I10" s="13">
        <f>'Calculo RAs'!I10</f>
        <v>6.166666666666667</v>
      </c>
      <c r="J10" s="13">
        <f>'Calculo RAs'!J10</f>
        <v>6.333333333333333</v>
      </c>
      <c r="K10" s="14">
        <f>'1er Trimestre'!J10</f>
        <v>6.8500000000000005</v>
      </c>
      <c r="L10" s="14">
        <f>'2º Trimestre'!K10</f>
        <v>6.4250000000000007</v>
      </c>
      <c r="M10" s="9">
        <f t="shared" si="0"/>
        <v>6.2558333333333334</v>
      </c>
      <c r="N10" s="15" t="str">
        <f t="shared" si="1"/>
        <v>BIEN</v>
      </c>
    </row>
    <row r="11" spans="1:14" ht="19.95" customHeight="1">
      <c r="A11" s="5">
        <v>3</v>
      </c>
      <c r="B11" s="6" t="s">
        <v>22</v>
      </c>
      <c r="C11" s="7">
        <f>'Calculo RAs'!C11</f>
        <v>9.75</v>
      </c>
      <c r="D11" s="7">
        <f>'Calculo RAs'!D11</f>
        <v>9.5</v>
      </c>
      <c r="E11" s="7">
        <f>'Calculo RAs'!E11</f>
        <v>9.9</v>
      </c>
      <c r="F11" s="7">
        <f>'Calculo RAs'!F11</f>
        <v>9.8333333333333339</v>
      </c>
      <c r="G11" s="7">
        <f>'Calculo RAs'!G11</f>
        <v>9.8333333333333339</v>
      </c>
      <c r="H11" s="7">
        <f>'Calculo RAs'!H11</f>
        <v>9.75</v>
      </c>
      <c r="I11" s="7">
        <f>'Calculo RAs'!I11</f>
        <v>9.8333333333333339</v>
      </c>
      <c r="J11" s="7">
        <f>'Calculo RAs'!J11</f>
        <v>10</v>
      </c>
      <c r="K11" s="8">
        <f>'1er Trimestre'!J11</f>
        <v>10.424999999999999</v>
      </c>
      <c r="L11" s="8">
        <f>'2º Trimestre'!K11</f>
        <v>9.8000000000000007</v>
      </c>
      <c r="M11" s="9">
        <f t="shared" si="0"/>
        <v>9.7858333333333345</v>
      </c>
      <c r="N11" s="10" t="str">
        <f t="shared" si="1"/>
        <v>SOBRESALIENTE</v>
      </c>
    </row>
    <row r="12" spans="1:14" ht="19.95" customHeight="1">
      <c r="A12" s="11">
        <v>4</v>
      </c>
      <c r="B12" s="12" t="s">
        <v>23</v>
      </c>
      <c r="C12" s="13">
        <f>'Calculo RAs'!C12</f>
        <v>4.375</v>
      </c>
      <c r="D12" s="13">
        <f>'Calculo RAs'!D12</f>
        <v>4.666666666666667</v>
      </c>
      <c r="E12" s="13">
        <f>'Calculo RAs'!E12</f>
        <v>4.4000000000000004</v>
      </c>
      <c r="F12" s="13">
        <f>'Calculo RAs'!F12</f>
        <v>5</v>
      </c>
      <c r="G12" s="13">
        <f>'Calculo RAs'!G12</f>
        <v>4.5</v>
      </c>
      <c r="H12" s="13">
        <f>'Calculo RAs'!H12</f>
        <v>4.5</v>
      </c>
      <c r="I12" s="13">
        <f>'Calculo RAs'!I12</f>
        <v>4.5</v>
      </c>
      <c r="J12" s="13">
        <f>'Calculo RAs'!J12</f>
        <v>4.333333333333333</v>
      </c>
      <c r="K12" s="14">
        <f>'1er Trimestre'!J12</f>
        <v>5.0749999999999993</v>
      </c>
      <c r="L12" s="14">
        <f>'2º Trimestre'!K12</f>
        <v>4.7249999999999996</v>
      </c>
      <c r="M12" s="9">
        <f t="shared" si="0"/>
        <v>4.517500000000001</v>
      </c>
      <c r="N12" s="15" t="str">
        <f t="shared" si="1"/>
        <v>INSUFICIENTE</v>
      </c>
    </row>
    <row r="13" spans="1:14" ht="19.95" customHeight="1">
      <c r="A13" s="5">
        <v>5</v>
      </c>
      <c r="B13" s="6" t="s">
        <v>24</v>
      </c>
      <c r="C13" s="7">
        <f>'Calculo RAs'!C13</f>
        <v>7.375</v>
      </c>
      <c r="D13" s="7">
        <f>'Calculo RAs'!D13</f>
        <v>7.666666666666667</v>
      </c>
      <c r="E13" s="7">
        <f>'Calculo RAs'!E13</f>
        <v>7.8</v>
      </c>
      <c r="F13" s="7">
        <f>'Calculo RAs'!F13</f>
        <v>7.5</v>
      </c>
      <c r="G13" s="7">
        <f>'Calculo RAs'!G13</f>
        <v>7.833333333333333</v>
      </c>
      <c r="H13" s="7">
        <f>'Calculo RAs'!H13</f>
        <v>7.75</v>
      </c>
      <c r="I13" s="7">
        <f>'Calculo RAs'!I13</f>
        <v>7.833333333333333</v>
      </c>
      <c r="J13" s="7">
        <f>'Calculo RAs'!J13</f>
        <v>7.666666666666667</v>
      </c>
      <c r="K13" s="8">
        <f>'1er Trimestre'!J13</f>
        <v>8.4250000000000007</v>
      </c>
      <c r="L13" s="8">
        <f>'2º Trimestre'!K13</f>
        <v>7.8000000000000007</v>
      </c>
      <c r="M13" s="9">
        <f t="shared" si="0"/>
        <v>7.6400000000000015</v>
      </c>
      <c r="N13" s="10" t="str">
        <f t="shared" si="1"/>
        <v>NOTABLE</v>
      </c>
    </row>
    <row r="14" spans="1:14" ht="19.95" customHeight="1">
      <c r="A14" s="11">
        <v>6</v>
      </c>
      <c r="B14" s="12" t="s">
        <v>25</v>
      </c>
      <c r="C14" s="13">
        <f>'Calculo RAs'!C14</f>
        <v>8.25</v>
      </c>
      <c r="D14" s="13">
        <f>'Calculo RAs'!D14</f>
        <v>8</v>
      </c>
      <c r="E14" s="13">
        <f>'Calculo RAs'!E14</f>
        <v>8.3000000000000007</v>
      </c>
      <c r="F14" s="13">
        <f>'Calculo RAs'!F14</f>
        <v>8.1666666666666661</v>
      </c>
      <c r="G14" s="13">
        <f>'Calculo RAs'!G14</f>
        <v>8.1666666666666661</v>
      </c>
      <c r="H14" s="13">
        <f>'Calculo RAs'!H14</f>
        <v>8.5</v>
      </c>
      <c r="I14" s="13">
        <f>'Calculo RAs'!I14</f>
        <v>8.1666666666666661</v>
      </c>
      <c r="J14" s="13">
        <f>'Calculo RAs'!J14</f>
        <v>8.3333333333333339</v>
      </c>
      <c r="K14" s="14">
        <f>'1er Trimestre'!J14</f>
        <v>8.9249999999999989</v>
      </c>
      <c r="L14" s="14">
        <f>'2º Trimestre'!K14</f>
        <v>8.3000000000000007</v>
      </c>
      <c r="M14" s="9">
        <f t="shared" si="0"/>
        <v>8.2249999999999996</v>
      </c>
      <c r="N14" s="15" t="str">
        <f t="shared" si="1"/>
        <v>NOTABLE</v>
      </c>
    </row>
    <row r="15" spans="1:14" ht="19.95" customHeight="1">
      <c r="A15" s="5">
        <v>7</v>
      </c>
      <c r="B15" s="6" t="s">
        <v>26</v>
      </c>
      <c r="C15" s="7">
        <f>'Calculo RAs'!C15</f>
        <v>9.25</v>
      </c>
      <c r="D15" s="7">
        <f>'Calculo RAs'!D15</f>
        <v>9</v>
      </c>
      <c r="E15" s="7">
        <f>'Calculo RAs'!E15</f>
        <v>9.1999999999999993</v>
      </c>
      <c r="F15" s="7">
        <f>'Calculo RAs'!F15</f>
        <v>9.1666666666666661</v>
      </c>
      <c r="G15" s="7">
        <f>'Calculo RAs'!G15</f>
        <v>9.1666666666666661</v>
      </c>
      <c r="H15" s="7">
        <f>'Calculo RAs'!H15</f>
        <v>9.5</v>
      </c>
      <c r="I15" s="7">
        <f>'Calculo RAs'!I15</f>
        <v>9.1666666666666661</v>
      </c>
      <c r="J15" s="7">
        <f>'Calculo RAs'!J15</f>
        <v>9.3333333333333339</v>
      </c>
      <c r="K15" s="8">
        <f>'1er Trimestre'!J15</f>
        <v>9.85</v>
      </c>
      <c r="L15" s="8">
        <f>'2º Trimestre'!K15</f>
        <v>9.25</v>
      </c>
      <c r="M15" s="9">
        <f t="shared" si="0"/>
        <v>9.2049999999999983</v>
      </c>
      <c r="N15" s="10" t="str">
        <f t="shared" si="1"/>
        <v>SOBRESALIENTE</v>
      </c>
    </row>
    <row r="16" spans="1:14" ht="19.95" customHeight="1">
      <c r="A16" s="11">
        <v>8</v>
      </c>
      <c r="B16" s="12" t="s">
        <v>27</v>
      </c>
      <c r="C16" s="13">
        <f>'Calculo RAs'!C16</f>
        <v>5.5</v>
      </c>
      <c r="D16" s="13">
        <f>'Calculo RAs'!D16</f>
        <v>5.833333333333333</v>
      </c>
      <c r="E16" s="13">
        <f>'Calculo RAs'!E16</f>
        <v>5.8</v>
      </c>
      <c r="F16" s="13">
        <f>'Calculo RAs'!F16</f>
        <v>5.5</v>
      </c>
      <c r="G16" s="13">
        <f>'Calculo RAs'!G16</f>
        <v>5.666666666666667</v>
      </c>
      <c r="H16" s="13">
        <f>'Calculo RAs'!H16</f>
        <v>6</v>
      </c>
      <c r="I16" s="13">
        <f>'Calculo RAs'!I16</f>
        <v>5.666666666666667</v>
      </c>
      <c r="J16" s="13">
        <f>'Calculo RAs'!J16</f>
        <v>5.833333333333333</v>
      </c>
      <c r="K16" s="14">
        <f>'1er Trimestre'!J16</f>
        <v>6.2</v>
      </c>
      <c r="L16" s="14">
        <f>'2º Trimestre'!K16</f>
        <v>5.8500000000000005</v>
      </c>
      <c r="M16" s="9">
        <f t="shared" si="0"/>
        <v>5.7050000000000001</v>
      </c>
      <c r="N16" s="15" t="str">
        <f t="shared" si="1"/>
        <v>SUFICIENTE</v>
      </c>
    </row>
    <row r="17" spans="1:14" ht="19.95" customHeight="1">
      <c r="A17" s="5">
        <v>9</v>
      </c>
      <c r="B17" s="6" t="s">
        <v>28</v>
      </c>
      <c r="C17" s="7">
        <f>'Calculo RAs'!C17</f>
        <v>9.875</v>
      </c>
      <c r="D17" s="7">
        <f>'Calculo RAs'!D17</f>
        <v>9.8333333333333339</v>
      </c>
      <c r="E17" s="7">
        <f>'Calculo RAs'!E17</f>
        <v>9.8000000000000007</v>
      </c>
      <c r="F17" s="7">
        <f>'Calculo RAs'!F17</f>
        <v>10</v>
      </c>
      <c r="G17" s="7">
        <f>'Calculo RAs'!G17</f>
        <v>10</v>
      </c>
      <c r="H17" s="7">
        <f>'Calculo RAs'!H17</f>
        <v>9.75</v>
      </c>
      <c r="I17" s="7">
        <f>'Calculo RAs'!I17</f>
        <v>9.8333333333333339</v>
      </c>
      <c r="J17" s="7">
        <f>'Calculo RAs'!J17</f>
        <v>10</v>
      </c>
      <c r="K17" s="8">
        <f>'1er Trimestre'!J17</f>
        <v>10.624999999999998</v>
      </c>
      <c r="L17" s="8">
        <f>'2º Trimestre'!K17</f>
        <v>9.85</v>
      </c>
      <c r="M17" s="9">
        <f t="shared" si="0"/>
        <v>9.8716666666666679</v>
      </c>
      <c r="N17" s="10" t="str">
        <f t="shared" si="1"/>
        <v>SOBRESALIENTE</v>
      </c>
    </row>
    <row r="18" spans="1:14" ht="19.95" customHeight="1">
      <c r="A18" s="11">
        <v>10</v>
      </c>
      <c r="B18" s="12" t="s">
        <v>29</v>
      </c>
      <c r="C18" s="13">
        <f>'Calculo RAs'!C18</f>
        <v>3.75</v>
      </c>
      <c r="D18" s="13">
        <f>'Calculo RAs'!D18</f>
        <v>3.8333333333333335</v>
      </c>
      <c r="E18" s="13">
        <f>'Calculo RAs'!E18</f>
        <v>4.0999999999999996</v>
      </c>
      <c r="F18" s="13">
        <f>'Calculo RAs'!F18</f>
        <v>4.166666666666667</v>
      </c>
      <c r="G18" s="13">
        <f>'Calculo RAs'!G18</f>
        <v>4</v>
      </c>
      <c r="H18" s="13">
        <f>'Calculo RAs'!H18</f>
        <v>4.25</v>
      </c>
      <c r="I18" s="13">
        <f>'Calculo RAs'!I18</f>
        <v>4.166666666666667</v>
      </c>
      <c r="J18" s="13">
        <f>'Calculo RAs'!J18</f>
        <v>4</v>
      </c>
      <c r="K18" s="14">
        <f>'1er Trimestre'!J18</f>
        <v>4.375</v>
      </c>
      <c r="L18" s="14">
        <f>'2º Trimestre'!K18</f>
        <v>4.1500000000000004</v>
      </c>
      <c r="M18" s="9">
        <f t="shared" si="0"/>
        <v>3.9908333333333332</v>
      </c>
      <c r="N18" s="15" t="str">
        <f t="shared" si="1"/>
        <v>INSUFICIENTE</v>
      </c>
    </row>
    <row r="19" spans="1:14" ht="19.95" customHeight="1">
      <c r="A19" s="5">
        <v>11</v>
      </c>
      <c r="B19" s="6" t="s">
        <v>30</v>
      </c>
      <c r="C19" s="7">
        <f>'Calculo RAs'!C19</f>
        <v>8.25</v>
      </c>
      <c r="D19" s="7">
        <f>'Calculo RAs'!D19</f>
        <v>8.5</v>
      </c>
      <c r="E19" s="7">
        <f>'Calculo RAs'!E19</f>
        <v>8.3000000000000007</v>
      </c>
      <c r="F19" s="7">
        <f>'Calculo RAs'!F19</f>
        <v>8.5</v>
      </c>
      <c r="G19" s="7">
        <f>'Calculo RAs'!G19</f>
        <v>8.5</v>
      </c>
      <c r="H19" s="7">
        <f>'Calculo RAs'!H19</f>
        <v>8.25</v>
      </c>
      <c r="I19" s="7">
        <f>'Calculo RAs'!I19</f>
        <v>8.3333333333333339</v>
      </c>
      <c r="J19" s="7">
        <f>'Calculo RAs'!J19</f>
        <v>8.5</v>
      </c>
      <c r="K19" s="8">
        <f>'1er Trimestre'!J19</f>
        <v>9.1249999999999982</v>
      </c>
      <c r="L19" s="8">
        <f>'2º Trimestre'!K19</f>
        <v>8.4249999999999989</v>
      </c>
      <c r="M19" s="9">
        <f t="shared" si="0"/>
        <v>8.3708333333333318</v>
      </c>
      <c r="N19" s="10" t="str">
        <f t="shared" si="1"/>
        <v>NOTABLE</v>
      </c>
    </row>
    <row r="20" spans="1:14" ht="19.95" customHeight="1">
      <c r="A20" s="11">
        <v>12</v>
      </c>
      <c r="B20" s="12" t="s">
        <v>31</v>
      </c>
      <c r="C20" s="13">
        <f>'Calculo RAs'!C20</f>
        <v>7.125</v>
      </c>
      <c r="D20" s="13">
        <f>'Calculo RAs'!D20</f>
        <v>6.833333333333333</v>
      </c>
      <c r="E20" s="13">
        <f>'Calculo RAs'!E20</f>
        <v>7.2</v>
      </c>
      <c r="F20" s="13">
        <f>'Calculo RAs'!F20</f>
        <v>7.166666666666667</v>
      </c>
      <c r="G20" s="13">
        <f>'Calculo RAs'!G20</f>
        <v>7.333333333333333</v>
      </c>
      <c r="H20" s="13">
        <f>'Calculo RAs'!H20</f>
        <v>7</v>
      </c>
      <c r="I20" s="13">
        <f>'Calculo RAs'!I20</f>
        <v>7.333333333333333</v>
      </c>
      <c r="J20" s="13">
        <f>'Calculo RAs'!J20</f>
        <v>7.166666666666667</v>
      </c>
      <c r="K20" s="14">
        <f>'1er Trimestre'!J20</f>
        <v>7.7</v>
      </c>
      <c r="L20" s="14">
        <f>'2º Trimestre'!K20</f>
        <v>7.3250000000000002</v>
      </c>
      <c r="M20" s="9">
        <f t="shared" si="0"/>
        <v>7.1225000000000005</v>
      </c>
      <c r="N20" s="15" t="str">
        <f t="shared" si="1"/>
        <v>NOTABLE</v>
      </c>
    </row>
    <row r="21" spans="1:14" ht="19.95" customHeight="1">
      <c r="A21" s="5">
        <v>13</v>
      </c>
      <c r="B21" s="6" t="s">
        <v>32</v>
      </c>
      <c r="C21" s="7">
        <f>'Calculo RAs'!C21</f>
        <v>6.375</v>
      </c>
      <c r="D21" s="7">
        <f>'Calculo RAs'!D21</f>
        <v>6.666666666666667</v>
      </c>
      <c r="E21" s="7">
        <f>'Calculo RAs'!E21</f>
        <v>6.8</v>
      </c>
      <c r="F21" s="7">
        <f>'Calculo RAs'!F21</f>
        <v>6.666666666666667</v>
      </c>
      <c r="G21" s="7">
        <f>'Calculo RAs'!G21</f>
        <v>6.833333333333333</v>
      </c>
      <c r="H21" s="7">
        <f>'Calculo RAs'!H21</f>
        <v>6.5</v>
      </c>
      <c r="I21" s="7">
        <f>'Calculo RAs'!I21</f>
        <v>6.833333333333333</v>
      </c>
      <c r="J21" s="7">
        <f>'Calculo RAs'!J21</f>
        <v>6.666666666666667</v>
      </c>
      <c r="K21" s="8">
        <f>'1er Trimestre'!J21</f>
        <v>7.2750000000000004</v>
      </c>
      <c r="L21" s="8">
        <f>'2º Trimestre'!K21</f>
        <v>6.7750000000000004</v>
      </c>
      <c r="M21" s="9">
        <f t="shared" si="0"/>
        <v>6.640833333333334</v>
      </c>
      <c r="N21" s="10" t="str">
        <f t="shared" si="1"/>
        <v>BIEN</v>
      </c>
    </row>
    <row r="22" spans="1:14" ht="19.95" customHeight="1">
      <c r="A22" s="11">
        <v>14</v>
      </c>
      <c r="B22" s="12" t="s">
        <v>33</v>
      </c>
      <c r="C22" s="13">
        <f>'Calculo RAs'!C22</f>
        <v>8.75</v>
      </c>
      <c r="D22" s="13">
        <f>'Calculo RAs'!D22</f>
        <v>9</v>
      </c>
      <c r="E22" s="13">
        <f>'Calculo RAs'!E22</f>
        <v>8.8000000000000007</v>
      </c>
      <c r="F22" s="13">
        <f>'Calculo RAs'!F22</f>
        <v>9</v>
      </c>
      <c r="G22" s="13">
        <f>'Calculo RAs'!G22</f>
        <v>9</v>
      </c>
      <c r="H22" s="13">
        <f>'Calculo RAs'!H22</f>
        <v>8.75</v>
      </c>
      <c r="I22" s="13">
        <f>'Calculo RAs'!I22</f>
        <v>8.8333333333333339</v>
      </c>
      <c r="J22" s="13">
        <f>'Calculo RAs'!J22</f>
        <v>9</v>
      </c>
      <c r="K22" s="14">
        <f>'1er Trimestre'!J22</f>
        <v>9.625</v>
      </c>
      <c r="L22" s="14">
        <f>'2º Trimestre'!K22</f>
        <v>8.8999999999999986</v>
      </c>
      <c r="M22" s="9">
        <f t="shared" si="0"/>
        <v>8.8708333333333336</v>
      </c>
      <c r="N22" s="15" t="str">
        <f t="shared" si="1"/>
        <v>NOTABLE</v>
      </c>
    </row>
    <row r="23" spans="1:14" ht="19.95" customHeight="1">
      <c r="A23" s="5">
        <v>15</v>
      </c>
      <c r="B23" s="6" t="s">
        <v>34</v>
      </c>
      <c r="C23" s="7">
        <f>'Calculo RAs'!C23</f>
        <v>9.25</v>
      </c>
      <c r="D23" s="7">
        <f>'Calculo RAs'!D23</f>
        <v>9.5</v>
      </c>
      <c r="E23" s="7">
        <f>'Calculo RAs'!E23</f>
        <v>9.3000000000000007</v>
      </c>
      <c r="F23" s="7">
        <f>'Calculo RAs'!F23</f>
        <v>9.5</v>
      </c>
      <c r="G23" s="7">
        <f>'Calculo RAs'!G23</f>
        <v>9.5</v>
      </c>
      <c r="H23" s="7">
        <f>'Calculo RAs'!H23</f>
        <v>9.25</v>
      </c>
      <c r="I23" s="7">
        <f>'Calculo RAs'!I23</f>
        <v>9.5</v>
      </c>
      <c r="J23" s="7">
        <f>'Calculo RAs'!J23</f>
        <v>9.6666666666666661</v>
      </c>
      <c r="K23" s="8">
        <f>'1er Trimestre'!J23</f>
        <v>10.124999999999998</v>
      </c>
      <c r="L23" s="8">
        <f>'2º Trimestre'!K23</f>
        <v>9.4749999999999996</v>
      </c>
      <c r="M23" s="9">
        <f t="shared" si="0"/>
        <v>9.4041666666666668</v>
      </c>
      <c r="N23" s="10" t="str">
        <f t="shared" si="1"/>
        <v>SOBRESALIENTE</v>
      </c>
    </row>
    <row r="24" spans="1:14" ht="24" customHeight="1">
      <c r="A24" s="31" t="s">
        <v>35</v>
      </c>
      <c r="B24" s="32"/>
      <c r="C24" s="16">
        <f t="shared" ref="C24:M24" si="2">AVERAGE(C9:C23)</f>
        <v>7.5083333333333337</v>
      </c>
      <c r="D24" s="16">
        <f t="shared" si="2"/>
        <v>7.5777777777777784</v>
      </c>
      <c r="E24" s="16">
        <f t="shared" si="2"/>
        <v>7.6466666666666647</v>
      </c>
      <c r="F24" s="16">
        <f t="shared" si="2"/>
        <v>7.7000000000000011</v>
      </c>
      <c r="G24" s="16">
        <f t="shared" si="2"/>
        <v>7.6999999999999993</v>
      </c>
      <c r="H24" s="16">
        <f t="shared" si="2"/>
        <v>7.666666666666667</v>
      </c>
      <c r="I24" s="16">
        <f t="shared" si="2"/>
        <v>7.6555555555555541</v>
      </c>
      <c r="J24" s="16">
        <f t="shared" si="2"/>
        <v>7.7111111111111121</v>
      </c>
      <c r="K24" s="16">
        <f t="shared" si="2"/>
        <v>8.2683333333333344</v>
      </c>
      <c r="L24" s="16">
        <f t="shared" si="2"/>
        <v>7.7216666666666676</v>
      </c>
      <c r="M24" s="16">
        <f t="shared" si="2"/>
        <v>7.6219444444444457</v>
      </c>
      <c r="N24" s="17"/>
    </row>
  </sheetData>
  <mergeCells count="11">
    <mergeCell ref="A1:N1"/>
    <mergeCell ref="E4:F4"/>
    <mergeCell ref="A24:B24"/>
    <mergeCell ref="A2:N2"/>
    <mergeCell ref="B5:C6"/>
    <mergeCell ref="E5:F6"/>
    <mergeCell ref="K5:L6"/>
    <mergeCell ref="H4:I4"/>
    <mergeCell ref="H5:I6"/>
    <mergeCell ref="K4:L4"/>
    <mergeCell ref="B4:C4"/>
  </mergeCells>
  <conditionalFormatting sqref="K9:M23">
    <cfRule type="cellIs" dxfId="9" priority="1" stopIfTrue="1" operator="greaterThanOrEqual">
      <formula>5</formula>
    </cfRule>
    <cfRule type="cellIs" dxfId="8" priority="2" stopIfTrue="1" operator="lessThan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4" workbookViewId="0">
      <selection activeCell="J9" sqref="J9"/>
    </sheetView>
  </sheetViews>
  <sheetFormatPr baseColWidth="10" defaultColWidth="8.88671875" defaultRowHeight="14.4"/>
  <cols>
    <col min="1" max="1" width="5" customWidth="1"/>
    <col min="2" max="2" width="25" customWidth="1"/>
    <col min="3" max="8" width="18" customWidth="1"/>
    <col min="9" max="10" width="16" customWidth="1"/>
  </cols>
  <sheetData>
    <row r="1" spans="1:10" ht="36" customHeight="1">
      <c r="A1" s="38" t="s">
        <v>36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95" customHeight="1">
      <c r="A2" s="33" t="s">
        <v>37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25.95" customHeight="1">
      <c r="A4" s="18"/>
      <c r="B4" s="18"/>
      <c r="C4" s="18" t="s">
        <v>38</v>
      </c>
      <c r="D4" s="18" t="s">
        <v>39</v>
      </c>
      <c r="E4" s="18" t="s">
        <v>40</v>
      </c>
      <c r="F4" s="18" t="s">
        <v>41</v>
      </c>
      <c r="G4" s="18" t="s">
        <v>42</v>
      </c>
      <c r="H4" s="18" t="s">
        <v>43</v>
      </c>
      <c r="I4" s="18" t="s">
        <v>44</v>
      </c>
      <c r="J4" s="18" t="s">
        <v>45</v>
      </c>
    </row>
    <row r="5" spans="1:10" ht="22.05" customHeight="1">
      <c r="A5" s="19"/>
      <c r="B5" s="19"/>
      <c r="C5" s="19" t="s">
        <v>46</v>
      </c>
      <c r="D5" s="19" t="s">
        <v>47</v>
      </c>
      <c r="E5" s="19" t="s">
        <v>48</v>
      </c>
      <c r="F5" s="19" t="s">
        <v>49</v>
      </c>
      <c r="G5" s="19" t="s">
        <v>50</v>
      </c>
      <c r="H5" s="19" t="s">
        <v>51</v>
      </c>
      <c r="I5" s="19" t="s">
        <v>52</v>
      </c>
      <c r="J5" s="19" t="s">
        <v>53</v>
      </c>
    </row>
    <row r="6" spans="1:10" ht="30" customHeight="1">
      <c r="A6" s="1" t="s">
        <v>6</v>
      </c>
      <c r="B6" s="1" t="s">
        <v>7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0" t="s">
        <v>60</v>
      </c>
      <c r="J6" s="3" t="s">
        <v>61</v>
      </c>
    </row>
    <row r="9" spans="1:10" ht="19.95" customHeight="1">
      <c r="A9" s="5">
        <v>1</v>
      </c>
      <c r="B9" s="6" t="s">
        <v>20</v>
      </c>
      <c r="C9" s="7">
        <v>8.5</v>
      </c>
      <c r="D9" s="7">
        <v>9</v>
      </c>
      <c r="E9" s="7">
        <v>8</v>
      </c>
      <c r="F9" s="7">
        <v>8.5</v>
      </c>
      <c r="G9" s="7">
        <v>9</v>
      </c>
      <c r="H9" s="7">
        <v>8.5</v>
      </c>
      <c r="I9" s="7">
        <v>8.5</v>
      </c>
      <c r="J9" s="8">
        <f t="shared" ref="J9:J23" si="0">C9*0.15 + D9*0.15 + E9*0.15 + F9*0.15 + G9*0.15 + H9*0.25 + I9*0.1</f>
        <v>9.4249999999999989</v>
      </c>
    </row>
    <row r="10" spans="1:10" ht="19.95" customHeight="1">
      <c r="A10" s="11">
        <v>2</v>
      </c>
      <c r="B10" s="12" t="s">
        <v>21</v>
      </c>
      <c r="C10" s="13">
        <v>6</v>
      </c>
      <c r="D10" s="13">
        <v>5.5</v>
      </c>
      <c r="E10" s="13">
        <v>6.5</v>
      </c>
      <c r="F10" s="13">
        <v>7</v>
      </c>
      <c r="G10" s="13">
        <v>6</v>
      </c>
      <c r="H10" s="13">
        <v>6</v>
      </c>
      <c r="I10" s="13">
        <v>7</v>
      </c>
      <c r="J10" s="8">
        <f t="shared" si="0"/>
        <v>6.8500000000000005</v>
      </c>
    </row>
    <row r="11" spans="1:10" ht="19.95" customHeight="1">
      <c r="A11" s="5">
        <v>3</v>
      </c>
      <c r="B11" s="6" t="s">
        <v>22</v>
      </c>
      <c r="C11" s="7">
        <v>9.5</v>
      </c>
      <c r="D11" s="7">
        <v>9</v>
      </c>
      <c r="E11" s="7">
        <v>10</v>
      </c>
      <c r="F11" s="7">
        <v>9.5</v>
      </c>
      <c r="G11" s="7">
        <v>10</v>
      </c>
      <c r="H11" s="7">
        <v>9.5</v>
      </c>
      <c r="I11" s="7">
        <v>8.5</v>
      </c>
      <c r="J11" s="8">
        <f t="shared" si="0"/>
        <v>10.424999999999999</v>
      </c>
    </row>
    <row r="12" spans="1:10" ht="19.95" customHeight="1">
      <c r="A12" s="11">
        <v>4</v>
      </c>
      <c r="B12" s="12" t="s">
        <v>23</v>
      </c>
      <c r="C12" s="13">
        <v>4</v>
      </c>
      <c r="D12" s="13">
        <v>5</v>
      </c>
      <c r="E12" s="13">
        <v>4.5</v>
      </c>
      <c r="F12" s="13">
        <v>5.5</v>
      </c>
      <c r="G12" s="13">
        <v>4</v>
      </c>
      <c r="H12" s="13">
        <v>4.5</v>
      </c>
      <c r="I12" s="13">
        <v>5</v>
      </c>
      <c r="J12" s="8">
        <f t="shared" si="0"/>
        <v>5.0749999999999993</v>
      </c>
    </row>
    <row r="13" spans="1:10" ht="19.95" customHeight="1">
      <c r="A13" s="5">
        <v>5</v>
      </c>
      <c r="B13" s="6" t="s">
        <v>24</v>
      </c>
      <c r="C13" s="7">
        <v>7.5</v>
      </c>
      <c r="D13" s="7">
        <v>8</v>
      </c>
      <c r="E13" s="7">
        <v>7</v>
      </c>
      <c r="F13" s="7">
        <v>7.5</v>
      </c>
      <c r="G13" s="7">
        <v>8</v>
      </c>
      <c r="H13" s="7">
        <v>7.5</v>
      </c>
      <c r="I13" s="7">
        <v>8.5</v>
      </c>
      <c r="J13" s="8">
        <f t="shared" si="0"/>
        <v>8.4250000000000007</v>
      </c>
    </row>
    <row r="14" spans="1:10" ht="19.95" customHeight="1">
      <c r="A14" s="11">
        <v>6</v>
      </c>
      <c r="B14" s="12" t="s">
        <v>25</v>
      </c>
      <c r="C14" s="13">
        <v>8</v>
      </c>
      <c r="D14" s="13">
        <v>7.5</v>
      </c>
      <c r="E14" s="13">
        <v>8.5</v>
      </c>
      <c r="F14" s="13">
        <v>8</v>
      </c>
      <c r="G14" s="13">
        <v>8.5</v>
      </c>
      <c r="H14" s="13">
        <v>8</v>
      </c>
      <c r="I14" s="13">
        <v>8.5</v>
      </c>
      <c r="J14" s="8">
        <f t="shared" si="0"/>
        <v>8.9249999999999989</v>
      </c>
    </row>
    <row r="15" spans="1:10" ht="19.95" customHeight="1">
      <c r="A15" s="5">
        <v>7</v>
      </c>
      <c r="B15" s="6" t="s">
        <v>26</v>
      </c>
      <c r="C15" s="7">
        <v>9</v>
      </c>
      <c r="D15" s="7">
        <v>8.5</v>
      </c>
      <c r="E15" s="7">
        <v>9.5</v>
      </c>
      <c r="F15" s="7">
        <v>9</v>
      </c>
      <c r="G15" s="7">
        <v>9</v>
      </c>
      <c r="H15" s="7">
        <v>9</v>
      </c>
      <c r="I15" s="7">
        <v>8.5</v>
      </c>
      <c r="J15" s="8">
        <f t="shared" si="0"/>
        <v>9.85</v>
      </c>
    </row>
    <row r="16" spans="1:10" ht="19.95" customHeight="1">
      <c r="A16" s="11">
        <v>8</v>
      </c>
      <c r="B16" s="12" t="s">
        <v>27</v>
      </c>
      <c r="C16" s="13">
        <v>5</v>
      </c>
      <c r="D16" s="13">
        <v>6</v>
      </c>
      <c r="E16" s="13">
        <v>5.5</v>
      </c>
      <c r="F16" s="13">
        <v>5</v>
      </c>
      <c r="G16" s="13">
        <v>6</v>
      </c>
      <c r="H16" s="13">
        <v>5.5</v>
      </c>
      <c r="I16" s="13">
        <v>7</v>
      </c>
      <c r="J16" s="8">
        <f t="shared" si="0"/>
        <v>6.2</v>
      </c>
    </row>
    <row r="17" spans="1:10" ht="19.95" customHeight="1">
      <c r="A17" s="5">
        <v>9</v>
      </c>
      <c r="B17" s="6" t="s">
        <v>28</v>
      </c>
      <c r="C17" s="7">
        <v>10</v>
      </c>
      <c r="D17" s="7">
        <v>9.5</v>
      </c>
      <c r="E17" s="7">
        <v>9.5</v>
      </c>
      <c r="F17" s="7">
        <v>10</v>
      </c>
      <c r="G17" s="7">
        <v>9.5</v>
      </c>
      <c r="H17" s="7">
        <v>10</v>
      </c>
      <c r="I17" s="7">
        <v>8.5</v>
      </c>
      <c r="J17" s="8">
        <f t="shared" si="0"/>
        <v>10.624999999999998</v>
      </c>
    </row>
    <row r="18" spans="1:10" ht="19.95" customHeight="1">
      <c r="A18" s="11">
        <v>10</v>
      </c>
      <c r="B18" s="12" t="s">
        <v>29</v>
      </c>
      <c r="C18" s="13">
        <v>3.5</v>
      </c>
      <c r="D18" s="13">
        <v>4</v>
      </c>
      <c r="E18" s="13">
        <v>4</v>
      </c>
      <c r="F18" s="13">
        <v>4.5</v>
      </c>
      <c r="G18" s="13">
        <v>4</v>
      </c>
      <c r="H18" s="13">
        <v>3.5</v>
      </c>
      <c r="I18" s="13">
        <v>5</v>
      </c>
      <c r="J18" s="8">
        <f t="shared" si="0"/>
        <v>4.375</v>
      </c>
    </row>
    <row r="19" spans="1:10" ht="19.95" customHeight="1">
      <c r="A19" s="5">
        <v>11</v>
      </c>
      <c r="B19" s="6" t="s">
        <v>30</v>
      </c>
      <c r="C19" s="7">
        <v>8</v>
      </c>
      <c r="D19" s="7">
        <v>8.5</v>
      </c>
      <c r="E19" s="7">
        <v>8</v>
      </c>
      <c r="F19" s="7">
        <v>8.5</v>
      </c>
      <c r="G19" s="7">
        <v>8</v>
      </c>
      <c r="H19" s="7">
        <v>8.5</v>
      </c>
      <c r="I19" s="7">
        <v>8.5</v>
      </c>
      <c r="J19" s="8">
        <f t="shared" si="0"/>
        <v>9.1249999999999982</v>
      </c>
    </row>
    <row r="20" spans="1:10" ht="19.95" customHeight="1">
      <c r="A20" s="11">
        <v>12</v>
      </c>
      <c r="B20" s="12" t="s">
        <v>31</v>
      </c>
      <c r="C20" s="13">
        <v>7</v>
      </c>
      <c r="D20" s="13">
        <v>6.5</v>
      </c>
      <c r="E20" s="13">
        <v>7.5</v>
      </c>
      <c r="F20" s="13">
        <v>7</v>
      </c>
      <c r="G20" s="13">
        <v>7</v>
      </c>
      <c r="H20" s="13">
        <v>7</v>
      </c>
      <c r="I20" s="13">
        <v>7</v>
      </c>
      <c r="J20" s="8">
        <f t="shared" si="0"/>
        <v>7.7</v>
      </c>
    </row>
    <row r="21" spans="1:10" ht="19.95" customHeight="1">
      <c r="A21" s="5">
        <v>13</v>
      </c>
      <c r="B21" s="6" t="s">
        <v>32</v>
      </c>
      <c r="C21" s="7">
        <v>6.5</v>
      </c>
      <c r="D21" s="7">
        <v>7</v>
      </c>
      <c r="E21" s="7">
        <v>6</v>
      </c>
      <c r="F21" s="7">
        <v>6.5</v>
      </c>
      <c r="G21" s="7">
        <v>7</v>
      </c>
      <c r="H21" s="7">
        <v>6.5</v>
      </c>
      <c r="I21" s="7">
        <v>7</v>
      </c>
      <c r="J21" s="8">
        <f t="shared" si="0"/>
        <v>7.2750000000000004</v>
      </c>
    </row>
    <row r="22" spans="1:10" ht="19.95" customHeight="1">
      <c r="A22" s="11">
        <v>14</v>
      </c>
      <c r="B22" s="12" t="s">
        <v>33</v>
      </c>
      <c r="C22" s="13">
        <v>8.5</v>
      </c>
      <c r="D22" s="13">
        <v>9</v>
      </c>
      <c r="E22" s="13">
        <v>8.5</v>
      </c>
      <c r="F22" s="13">
        <v>9</v>
      </c>
      <c r="G22" s="13">
        <v>8.5</v>
      </c>
      <c r="H22" s="13">
        <v>9</v>
      </c>
      <c r="I22" s="13">
        <v>8.5</v>
      </c>
      <c r="J22" s="8">
        <f t="shared" si="0"/>
        <v>9.625</v>
      </c>
    </row>
    <row r="23" spans="1:10" ht="19.95" customHeight="1">
      <c r="A23" s="5">
        <v>15</v>
      </c>
      <c r="B23" s="6" t="s">
        <v>34</v>
      </c>
      <c r="C23" s="7">
        <v>9</v>
      </c>
      <c r="D23" s="7">
        <v>9.5</v>
      </c>
      <c r="E23" s="7">
        <v>9</v>
      </c>
      <c r="F23" s="7">
        <v>9.5</v>
      </c>
      <c r="G23" s="7">
        <v>9</v>
      </c>
      <c r="H23" s="7">
        <v>9.5</v>
      </c>
      <c r="I23" s="7">
        <v>8.5</v>
      </c>
      <c r="J23" s="8">
        <f t="shared" si="0"/>
        <v>10.124999999999998</v>
      </c>
    </row>
    <row r="24" spans="1:10" ht="24" customHeight="1">
      <c r="A24" s="31" t="s">
        <v>62</v>
      </c>
      <c r="B24" s="32"/>
      <c r="C24" s="16">
        <f t="shared" ref="C24:J24" si="1">AVERAGE(C9:C23)</f>
        <v>7.333333333333333</v>
      </c>
      <c r="D24" s="16">
        <f t="shared" si="1"/>
        <v>7.5</v>
      </c>
      <c r="E24" s="16">
        <f t="shared" si="1"/>
        <v>7.4666666666666668</v>
      </c>
      <c r="F24" s="16">
        <f t="shared" si="1"/>
        <v>7.666666666666667</v>
      </c>
      <c r="G24" s="16">
        <f t="shared" si="1"/>
        <v>7.5666666666666664</v>
      </c>
      <c r="H24" s="16">
        <f t="shared" si="1"/>
        <v>7.5</v>
      </c>
      <c r="I24" s="16">
        <f t="shared" si="1"/>
        <v>7.6333333333333337</v>
      </c>
      <c r="J24" s="16">
        <f t="shared" si="1"/>
        <v>8.2683333333333344</v>
      </c>
    </row>
  </sheetData>
  <mergeCells count="3">
    <mergeCell ref="A1:J1"/>
    <mergeCell ref="A24:B24"/>
    <mergeCell ref="A2:J2"/>
  </mergeCells>
  <conditionalFormatting sqref="J9:J23">
    <cfRule type="cellIs" dxfId="7" priority="1" stopIfTrue="1" operator="greaterThanOrEqual">
      <formula>5</formula>
    </cfRule>
    <cfRule type="cellIs" dxfId="6" priority="2" stopIfTrue="1" operator="lessThan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sqref="A1:K1"/>
    </sheetView>
  </sheetViews>
  <sheetFormatPr baseColWidth="10" defaultColWidth="8.88671875" defaultRowHeight="14.4"/>
  <cols>
    <col min="1" max="1" width="5" customWidth="1"/>
    <col min="2" max="2" width="25" customWidth="1"/>
    <col min="3" max="7" width="18" customWidth="1"/>
    <col min="8" max="8" width="20" customWidth="1"/>
    <col min="9" max="9" width="18" customWidth="1"/>
    <col min="10" max="11" width="16" customWidth="1"/>
  </cols>
  <sheetData>
    <row r="1" spans="1:11" ht="36" customHeight="1">
      <c r="A1" s="38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9.95" customHeight="1">
      <c r="A2" s="33" t="s">
        <v>64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ht="25.95" customHeight="1">
      <c r="A4" s="18"/>
      <c r="B4" s="18"/>
      <c r="C4" s="18" t="s">
        <v>65</v>
      </c>
      <c r="D4" s="18" t="s">
        <v>66</v>
      </c>
      <c r="E4" s="18" t="s">
        <v>67</v>
      </c>
      <c r="F4" s="18" t="s">
        <v>68</v>
      </c>
      <c r="G4" s="18" t="s">
        <v>69</v>
      </c>
      <c r="H4" s="18" t="s">
        <v>70</v>
      </c>
      <c r="I4" s="18" t="s">
        <v>71</v>
      </c>
      <c r="J4" s="18" t="s">
        <v>44</v>
      </c>
      <c r="K4" s="18" t="s">
        <v>45</v>
      </c>
    </row>
    <row r="5" spans="1:11" ht="22.05" customHeight="1">
      <c r="A5" s="19"/>
      <c r="B5" s="19"/>
      <c r="C5" s="19" t="s">
        <v>72</v>
      </c>
      <c r="D5" s="19" t="s">
        <v>73</v>
      </c>
      <c r="E5" s="19" t="s">
        <v>74</v>
      </c>
      <c r="F5" s="19" t="s">
        <v>75</v>
      </c>
      <c r="G5" s="19" t="s">
        <v>76</v>
      </c>
      <c r="H5" s="19" t="s">
        <v>77</v>
      </c>
      <c r="I5" s="19" t="s">
        <v>78</v>
      </c>
      <c r="J5" s="19" t="s">
        <v>52</v>
      </c>
      <c r="K5" s="19" t="s">
        <v>79</v>
      </c>
    </row>
    <row r="6" spans="1:11" ht="30" customHeight="1">
      <c r="A6" s="1" t="s">
        <v>6</v>
      </c>
      <c r="B6" s="1" t="s">
        <v>7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85</v>
      </c>
      <c r="I6" s="21" t="s">
        <v>86</v>
      </c>
      <c r="J6" s="20" t="s">
        <v>87</v>
      </c>
      <c r="K6" s="3" t="s">
        <v>88</v>
      </c>
    </row>
    <row r="9" spans="1:11" ht="19.95" customHeight="1">
      <c r="A9" s="5">
        <v>1</v>
      </c>
      <c r="B9" s="6" t="s">
        <v>20</v>
      </c>
      <c r="C9" s="7">
        <v>8.5</v>
      </c>
      <c r="D9" s="7">
        <v>9</v>
      </c>
      <c r="E9" s="7">
        <v>8.5</v>
      </c>
      <c r="F9" s="7">
        <v>9</v>
      </c>
      <c r="G9" s="7">
        <v>8.5</v>
      </c>
      <c r="H9" s="7">
        <v>9</v>
      </c>
      <c r="I9" s="7">
        <v>8.5</v>
      </c>
      <c r="J9" s="7">
        <v>9</v>
      </c>
      <c r="K9" s="8">
        <f t="shared" ref="K9:K23" si="0">C9*0.1 + D9*0.1 + E9*0.1 + F9*0.1 + G9*0.1 + H9*0.3 + I9*0.15 + J9*0.05</f>
        <v>8.7749999999999986</v>
      </c>
    </row>
    <row r="10" spans="1:11" ht="19.95" customHeight="1">
      <c r="A10" s="11">
        <v>2</v>
      </c>
      <c r="B10" s="12" t="s">
        <v>21</v>
      </c>
      <c r="C10" s="13">
        <v>6.5</v>
      </c>
      <c r="D10" s="13">
        <v>6</v>
      </c>
      <c r="E10" s="13">
        <v>7</v>
      </c>
      <c r="F10" s="13">
        <v>6.5</v>
      </c>
      <c r="G10" s="13">
        <v>6</v>
      </c>
      <c r="H10" s="13">
        <v>6.5</v>
      </c>
      <c r="I10" s="13">
        <v>6</v>
      </c>
      <c r="J10" s="13">
        <v>7.5</v>
      </c>
      <c r="K10" s="8">
        <f t="shared" si="0"/>
        <v>6.4250000000000007</v>
      </c>
    </row>
    <row r="11" spans="1:11" ht="19.95" customHeight="1">
      <c r="A11" s="5">
        <v>3</v>
      </c>
      <c r="B11" s="6" t="s">
        <v>22</v>
      </c>
      <c r="C11" s="7">
        <v>10</v>
      </c>
      <c r="D11" s="7">
        <v>9.5</v>
      </c>
      <c r="E11" s="7">
        <v>9.5</v>
      </c>
      <c r="F11" s="7">
        <v>10</v>
      </c>
      <c r="G11" s="7">
        <v>9.5</v>
      </c>
      <c r="H11" s="7">
        <v>10</v>
      </c>
      <c r="I11" s="7">
        <v>10</v>
      </c>
      <c r="J11" s="7">
        <v>9</v>
      </c>
      <c r="K11" s="8">
        <f t="shared" si="0"/>
        <v>9.8000000000000007</v>
      </c>
    </row>
    <row r="12" spans="1:11" ht="19.95" customHeight="1">
      <c r="A12" s="11">
        <v>4</v>
      </c>
      <c r="B12" s="12" t="s">
        <v>23</v>
      </c>
      <c r="C12" s="13">
        <v>5</v>
      </c>
      <c r="D12" s="13">
        <v>4.5</v>
      </c>
      <c r="E12" s="13">
        <v>5</v>
      </c>
      <c r="F12" s="13">
        <v>4.5</v>
      </c>
      <c r="G12" s="13">
        <v>5</v>
      </c>
      <c r="H12" s="13">
        <v>4.5</v>
      </c>
      <c r="I12" s="13">
        <v>4</v>
      </c>
      <c r="J12" s="13">
        <v>7.5</v>
      </c>
      <c r="K12" s="8">
        <f t="shared" si="0"/>
        <v>4.7249999999999996</v>
      </c>
    </row>
    <row r="13" spans="1:11" ht="19.95" customHeight="1">
      <c r="A13" s="5">
        <v>5</v>
      </c>
      <c r="B13" s="6" t="s">
        <v>24</v>
      </c>
      <c r="C13" s="7">
        <v>7.5</v>
      </c>
      <c r="D13" s="7">
        <v>8</v>
      </c>
      <c r="E13" s="7">
        <v>8</v>
      </c>
      <c r="F13" s="7">
        <v>7.5</v>
      </c>
      <c r="G13" s="7">
        <v>8</v>
      </c>
      <c r="H13" s="7">
        <v>7.5</v>
      </c>
      <c r="I13" s="7">
        <v>8</v>
      </c>
      <c r="J13" s="7">
        <v>9</v>
      </c>
      <c r="K13" s="8">
        <f t="shared" si="0"/>
        <v>7.8000000000000007</v>
      </c>
    </row>
    <row r="14" spans="1:11" ht="19.95" customHeight="1">
      <c r="A14" s="11">
        <v>6</v>
      </c>
      <c r="B14" s="12" t="s">
        <v>25</v>
      </c>
      <c r="C14" s="13">
        <v>8</v>
      </c>
      <c r="D14" s="13">
        <v>8.5</v>
      </c>
      <c r="E14" s="13">
        <v>8</v>
      </c>
      <c r="F14" s="13">
        <v>8.5</v>
      </c>
      <c r="G14" s="13">
        <v>8</v>
      </c>
      <c r="H14" s="13">
        <v>8.5</v>
      </c>
      <c r="I14" s="13">
        <v>8</v>
      </c>
      <c r="J14" s="13">
        <v>9</v>
      </c>
      <c r="K14" s="8">
        <f t="shared" si="0"/>
        <v>8.3000000000000007</v>
      </c>
    </row>
    <row r="15" spans="1:11" ht="19.95" customHeight="1">
      <c r="A15" s="5">
        <v>7</v>
      </c>
      <c r="B15" s="6" t="s">
        <v>26</v>
      </c>
      <c r="C15" s="7">
        <v>9</v>
      </c>
      <c r="D15" s="7">
        <v>9.5</v>
      </c>
      <c r="E15" s="7">
        <v>9</v>
      </c>
      <c r="F15" s="7">
        <v>9.5</v>
      </c>
      <c r="G15" s="7">
        <v>9</v>
      </c>
      <c r="H15" s="7">
        <v>9.5</v>
      </c>
      <c r="I15" s="7">
        <v>9</v>
      </c>
      <c r="J15" s="7">
        <v>9</v>
      </c>
      <c r="K15" s="8">
        <f t="shared" si="0"/>
        <v>9.25</v>
      </c>
    </row>
    <row r="16" spans="1:11" ht="19.95" customHeight="1">
      <c r="A16" s="11">
        <v>8</v>
      </c>
      <c r="B16" s="12" t="s">
        <v>27</v>
      </c>
      <c r="C16" s="13">
        <v>5.5</v>
      </c>
      <c r="D16" s="13">
        <v>6</v>
      </c>
      <c r="E16" s="13">
        <v>5.5</v>
      </c>
      <c r="F16" s="13">
        <v>6</v>
      </c>
      <c r="G16" s="13">
        <v>5.5</v>
      </c>
      <c r="H16" s="13">
        <v>6</v>
      </c>
      <c r="I16" s="13">
        <v>5.5</v>
      </c>
      <c r="J16" s="13">
        <v>7.5</v>
      </c>
      <c r="K16" s="8">
        <f t="shared" si="0"/>
        <v>5.8500000000000005</v>
      </c>
    </row>
    <row r="17" spans="1:11" ht="19.95" customHeight="1">
      <c r="A17" s="5">
        <v>9</v>
      </c>
      <c r="B17" s="6" t="s">
        <v>28</v>
      </c>
      <c r="C17" s="7">
        <v>10</v>
      </c>
      <c r="D17" s="7">
        <v>9.5</v>
      </c>
      <c r="E17" s="7">
        <v>10</v>
      </c>
      <c r="F17" s="7">
        <v>10</v>
      </c>
      <c r="G17" s="7">
        <v>9.5</v>
      </c>
      <c r="H17" s="7">
        <v>10</v>
      </c>
      <c r="I17" s="7">
        <v>10</v>
      </c>
      <c r="J17" s="7">
        <v>9</v>
      </c>
      <c r="K17" s="8">
        <f t="shared" si="0"/>
        <v>9.85</v>
      </c>
    </row>
    <row r="18" spans="1:11" ht="19.95" customHeight="1">
      <c r="A18" s="11">
        <v>10</v>
      </c>
      <c r="B18" s="12" t="s">
        <v>29</v>
      </c>
      <c r="C18" s="13">
        <v>4</v>
      </c>
      <c r="D18" s="13">
        <v>4.5</v>
      </c>
      <c r="E18" s="13">
        <v>4</v>
      </c>
      <c r="F18" s="13">
        <v>4</v>
      </c>
      <c r="G18" s="13">
        <v>4.5</v>
      </c>
      <c r="H18" s="13">
        <v>4</v>
      </c>
      <c r="I18" s="13">
        <v>4</v>
      </c>
      <c r="J18" s="13">
        <v>5</v>
      </c>
      <c r="K18" s="8">
        <f t="shared" si="0"/>
        <v>4.1500000000000004</v>
      </c>
    </row>
    <row r="19" spans="1:11" ht="19.95" customHeight="1">
      <c r="A19" s="5">
        <v>11</v>
      </c>
      <c r="B19" s="6" t="s">
        <v>30</v>
      </c>
      <c r="C19" s="7">
        <v>8.5</v>
      </c>
      <c r="D19" s="7">
        <v>8</v>
      </c>
      <c r="E19" s="7">
        <v>8.5</v>
      </c>
      <c r="F19" s="7">
        <v>8.5</v>
      </c>
      <c r="G19" s="7">
        <v>8</v>
      </c>
      <c r="H19" s="7">
        <v>8.5</v>
      </c>
      <c r="I19" s="7">
        <v>8.5</v>
      </c>
      <c r="J19" s="7">
        <v>9</v>
      </c>
      <c r="K19" s="8">
        <f t="shared" si="0"/>
        <v>8.4249999999999989</v>
      </c>
    </row>
    <row r="20" spans="1:11" ht="19.95" customHeight="1">
      <c r="A20" s="11">
        <v>12</v>
      </c>
      <c r="B20" s="12" t="s">
        <v>31</v>
      </c>
      <c r="C20" s="13">
        <v>7.5</v>
      </c>
      <c r="D20" s="13">
        <v>7</v>
      </c>
      <c r="E20" s="13">
        <v>7.5</v>
      </c>
      <c r="F20" s="13">
        <v>7</v>
      </c>
      <c r="G20" s="13">
        <v>7.5</v>
      </c>
      <c r="H20" s="13">
        <v>7</v>
      </c>
      <c r="I20" s="13">
        <v>7.5</v>
      </c>
      <c r="J20" s="13">
        <v>9</v>
      </c>
      <c r="K20" s="8">
        <f t="shared" si="0"/>
        <v>7.3250000000000002</v>
      </c>
    </row>
    <row r="21" spans="1:11" ht="19.95" customHeight="1">
      <c r="A21" s="5">
        <v>13</v>
      </c>
      <c r="B21" s="6" t="s">
        <v>32</v>
      </c>
      <c r="C21" s="7">
        <v>7</v>
      </c>
      <c r="D21" s="7">
        <v>6.5</v>
      </c>
      <c r="E21" s="7">
        <v>7</v>
      </c>
      <c r="F21" s="7">
        <v>6.5</v>
      </c>
      <c r="G21" s="7">
        <v>7</v>
      </c>
      <c r="H21" s="7">
        <v>6.5</v>
      </c>
      <c r="I21" s="7">
        <v>7</v>
      </c>
      <c r="J21" s="7">
        <v>7.5</v>
      </c>
      <c r="K21" s="8">
        <f t="shared" si="0"/>
        <v>6.7750000000000004</v>
      </c>
    </row>
    <row r="22" spans="1:11" ht="19.95" customHeight="1">
      <c r="A22" s="11">
        <v>14</v>
      </c>
      <c r="B22" s="12" t="s">
        <v>33</v>
      </c>
      <c r="C22" s="13">
        <v>9</v>
      </c>
      <c r="D22" s="13">
        <v>8.5</v>
      </c>
      <c r="E22" s="13">
        <v>9</v>
      </c>
      <c r="F22" s="13">
        <v>9</v>
      </c>
      <c r="G22" s="13">
        <v>8.5</v>
      </c>
      <c r="H22" s="13">
        <v>9</v>
      </c>
      <c r="I22" s="13">
        <v>9</v>
      </c>
      <c r="J22" s="13">
        <v>9</v>
      </c>
      <c r="K22" s="8">
        <f t="shared" si="0"/>
        <v>8.8999999999999986</v>
      </c>
    </row>
    <row r="23" spans="1:11" ht="19.95" customHeight="1">
      <c r="A23" s="5">
        <v>15</v>
      </c>
      <c r="B23" s="6" t="s">
        <v>34</v>
      </c>
      <c r="C23" s="7">
        <v>9.5</v>
      </c>
      <c r="D23" s="7">
        <v>9</v>
      </c>
      <c r="E23" s="7">
        <v>9.5</v>
      </c>
      <c r="F23" s="7">
        <v>10</v>
      </c>
      <c r="G23" s="7">
        <v>9.5</v>
      </c>
      <c r="H23" s="7">
        <v>9.5</v>
      </c>
      <c r="I23" s="7">
        <v>9.5</v>
      </c>
      <c r="J23" s="7">
        <v>9</v>
      </c>
      <c r="K23" s="8">
        <f t="shared" si="0"/>
        <v>9.4749999999999996</v>
      </c>
    </row>
    <row r="24" spans="1:11" ht="24" customHeight="1">
      <c r="A24" s="31" t="s">
        <v>89</v>
      </c>
      <c r="B24" s="32"/>
      <c r="C24" s="16">
        <f t="shared" ref="C24:K24" si="1">AVERAGE(C9:C23)</f>
        <v>7.7</v>
      </c>
      <c r="D24" s="16">
        <f t="shared" si="1"/>
        <v>7.6</v>
      </c>
      <c r="E24" s="16">
        <f t="shared" si="1"/>
        <v>7.7333333333333334</v>
      </c>
      <c r="F24" s="16">
        <f t="shared" si="1"/>
        <v>7.7666666666666666</v>
      </c>
      <c r="G24" s="16">
        <f t="shared" si="1"/>
        <v>7.6</v>
      </c>
      <c r="H24" s="16">
        <f t="shared" si="1"/>
        <v>7.7333333333333334</v>
      </c>
      <c r="I24" s="16">
        <f t="shared" si="1"/>
        <v>7.6333333333333337</v>
      </c>
      <c r="J24" s="16">
        <f t="shared" si="1"/>
        <v>8.3333333333333339</v>
      </c>
      <c r="K24" s="16">
        <f t="shared" si="1"/>
        <v>7.7216666666666676</v>
      </c>
    </row>
  </sheetData>
  <mergeCells count="3">
    <mergeCell ref="A2:K2"/>
    <mergeCell ref="A1:K1"/>
    <mergeCell ref="A24:B24"/>
  </mergeCells>
  <conditionalFormatting sqref="K9:K23">
    <cfRule type="cellIs" dxfId="5" priority="1" stopIfTrue="1" operator="greaterThanOrEqual">
      <formula>5</formula>
    </cfRule>
    <cfRule type="cellIs" dxfId="4" priority="2" stopIfTrue="1" operator="lessThan">
      <formula>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>
      <selection sqref="A1:K1"/>
    </sheetView>
  </sheetViews>
  <sheetFormatPr baseColWidth="10" defaultColWidth="8.88671875" defaultRowHeight="14.4"/>
  <cols>
    <col min="1" max="1" width="5" customWidth="1"/>
    <col min="2" max="2" width="25" customWidth="1"/>
    <col min="3" max="10" width="15" customWidth="1"/>
    <col min="11" max="11" width="18" customWidth="1"/>
  </cols>
  <sheetData>
    <row r="1" spans="1:11" ht="36" customHeight="1">
      <c r="A1" s="38" t="s">
        <v>90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9.95" customHeight="1">
      <c r="A2" s="33" t="s">
        <v>91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ht="42" customHeight="1">
      <c r="A4" s="1" t="s">
        <v>6</v>
      </c>
      <c r="B4" s="1" t="s">
        <v>7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4" t="s">
        <v>100</v>
      </c>
    </row>
    <row r="9" spans="1:11" ht="19.95" customHeight="1">
      <c r="A9" s="5">
        <v>1</v>
      </c>
      <c r="B9" s="6" t="s">
        <v>20</v>
      </c>
      <c r="C9" s="7">
        <f>AVERAGE('1er Trimestre'!C9, '1er Trimestre'!E9, '1er Trimestre'!H9, '2º Trimestre'!H9)</f>
        <v>8.5</v>
      </c>
      <c r="D9" s="7">
        <f>AVERAGE('1er Trimestre'!D9, '1er Trimestre'!H9, '2º Trimestre'!H9)</f>
        <v>8.8333333333333339</v>
      </c>
      <c r="E9" s="7">
        <f>AVERAGE('1er Trimestre'!G9, '2º Trimestre'!C9, '2º Trimestre'!D9, '2º Trimestre'!H9, '2º Trimestre'!I9)</f>
        <v>8.8000000000000007</v>
      </c>
      <c r="F9" s="7">
        <f>AVERAGE('1er Trimestre'!F9, '2º Trimestre'!C9, '2º Trimestre'!H9)</f>
        <v>8.6666666666666661</v>
      </c>
      <c r="G9" s="7">
        <f>AVERAGE('2º Trimestre'!E9, '2º Trimestre'!H9, '2º Trimestre'!I9)</f>
        <v>8.6666666666666661</v>
      </c>
      <c r="H9" s="7">
        <f>AVERAGE('2º Trimestre'!D9, '2º Trimestre'!H9)</f>
        <v>9</v>
      </c>
      <c r="I9" s="7">
        <f>AVERAGE('2º Trimestre'!G9, '2º Trimestre'!H9, '2º Trimestre'!I9)</f>
        <v>8.6666666666666661</v>
      </c>
      <c r="J9" s="7">
        <f>AVERAGE('2º Trimestre'!F9, '2º Trimestre'!H9, '2º Trimestre'!I9)</f>
        <v>8.8333333333333339</v>
      </c>
      <c r="K9" s="22">
        <f t="shared" ref="K9:K23" si="0">C9*0.22 + D9*0.16 + E9*0.2 + F9*0.11 + G9*0.04 + H9*0.07 + I9*0.1 + J9*0.1</f>
        <v>8.7233333333333327</v>
      </c>
    </row>
    <row r="10" spans="1:11" ht="19.95" customHeight="1">
      <c r="A10" s="11">
        <v>2</v>
      </c>
      <c r="B10" s="12" t="s">
        <v>21</v>
      </c>
      <c r="C10" s="13">
        <f>AVERAGE('1er Trimestre'!C10, '1er Trimestre'!E10, '1er Trimestre'!H10, '2º Trimestre'!H10)</f>
        <v>6.25</v>
      </c>
      <c r="D10" s="13">
        <f>AVERAGE('1er Trimestre'!D10, '1er Trimestre'!H10, '2º Trimestre'!H10)</f>
        <v>6</v>
      </c>
      <c r="E10" s="13">
        <f>AVERAGE('1er Trimestre'!G10, '2º Trimestre'!C10, '2º Trimestre'!D10, '2º Trimestre'!H10, '2º Trimestre'!I10)</f>
        <v>6.2</v>
      </c>
      <c r="F10" s="13">
        <f>AVERAGE('1er Trimestre'!F10, '2º Trimestre'!C10, '2º Trimestre'!H10)</f>
        <v>6.666666666666667</v>
      </c>
      <c r="G10" s="13">
        <f>AVERAGE('2º Trimestre'!E10, '2º Trimestre'!H10, '2º Trimestre'!I10)</f>
        <v>6.5</v>
      </c>
      <c r="H10" s="13">
        <f>AVERAGE('2º Trimestre'!D10, '2º Trimestre'!H10)</f>
        <v>6.25</v>
      </c>
      <c r="I10" s="13">
        <f>AVERAGE('2º Trimestre'!G10, '2º Trimestre'!H10, '2º Trimestre'!I10)</f>
        <v>6.166666666666667</v>
      </c>
      <c r="J10" s="13">
        <f>AVERAGE('2º Trimestre'!F10, '2º Trimestre'!H10, '2º Trimestre'!I10)</f>
        <v>6.333333333333333</v>
      </c>
      <c r="K10" s="22">
        <f t="shared" si="0"/>
        <v>6.2558333333333334</v>
      </c>
    </row>
    <row r="11" spans="1:11" ht="19.95" customHeight="1">
      <c r="A11" s="5">
        <v>3</v>
      </c>
      <c r="B11" s="6" t="s">
        <v>22</v>
      </c>
      <c r="C11" s="7">
        <f>AVERAGE('1er Trimestre'!C11, '1er Trimestre'!E11, '1er Trimestre'!H11, '2º Trimestre'!H11)</f>
        <v>9.75</v>
      </c>
      <c r="D11" s="7">
        <f>AVERAGE('1er Trimestre'!D11, '1er Trimestre'!H11, '2º Trimestre'!H11)</f>
        <v>9.5</v>
      </c>
      <c r="E11" s="7">
        <f>AVERAGE('1er Trimestre'!G11, '2º Trimestre'!C11, '2º Trimestre'!D11, '2º Trimestre'!H11, '2º Trimestre'!I11)</f>
        <v>9.9</v>
      </c>
      <c r="F11" s="7">
        <f>AVERAGE('1er Trimestre'!F11, '2º Trimestre'!C11, '2º Trimestre'!H11)</f>
        <v>9.8333333333333339</v>
      </c>
      <c r="G11" s="7">
        <f>AVERAGE('2º Trimestre'!E11, '2º Trimestre'!H11, '2º Trimestre'!I11)</f>
        <v>9.8333333333333339</v>
      </c>
      <c r="H11" s="7">
        <f>AVERAGE('2º Trimestre'!D11, '2º Trimestre'!H11)</f>
        <v>9.75</v>
      </c>
      <c r="I11" s="7">
        <f>AVERAGE('2º Trimestre'!G11, '2º Trimestre'!H11, '2º Trimestre'!I11)</f>
        <v>9.8333333333333339</v>
      </c>
      <c r="J11" s="7">
        <f>AVERAGE('2º Trimestre'!F11, '2º Trimestre'!H11, '2º Trimestre'!I11)</f>
        <v>10</v>
      </c>
      <c r="K11" s="22">
        <f t="shared" si="0"/>
        <v>9.7858333333333345</v>
      </c>
    </row>
    <row r="12" spans="1:11" ht="19.95" customHeight="1">
      <c r="A12" s="11">
        <v>4</v>
      </c>
      <c r="B12" s="12" t="s">
        <v>23</v>
      </c>
      <c r="C12" s="13">
        <f>AVERAGE('1er Trimestre'!C12, '1er Trimestre'!E12, '1er Trimestre'!H12, '2º Trimestre'!H12)</f>
        <v>4.375</v>
      </c>
      <c r="D12" s="13">
        <f>AVERAGE('1er Trimestre'!D12, '1er Trimestre'!H12, '2º Trimestre'!H12)</f>
        <v>4.666666666666667</v>
      </c>
      <c r="E12" s="13">
        <f>AVERAGE('1er Trimestre'!G12, '2º Trimestre'!C12, '2º Trimestre'!D12, '2º Trimestre'!H12, '2º Trimestre'!I12)</f>
        <v>4.4000000000000004</v>
      </c>
      <c r="F12" s="13">
        <f>AVERAGE('1er Trimestre'!F12, '2º Trimestre'!C12, '2º Trimestre'!H12)</f>
        <v>5</v>
      </c>
      <c r="G12" s="13">
        <f>AVERAGE('2º Trimestre'!E12, '2º Trimestre'!H12, '2º Trimestre'!I12)</f>
        <v>4.5</v>
      </c>
      <c r="H12" s="13">
        <f>AVERAGE('2º Trimestre'!D12, '2º Trimestre'!H12)</f>
        <v>4.5</v>
      </c>
      <c r="I12" s="13">
        <f>AVERAGE('2º Trimestre'!G12, '2º Trimestre'!H12, '2º Trimestre'!I12)</f>
        <v>4.5</v>
      </c>
      <c r="J12" s="13">
        <f>AVERAGE('2º Trimestre'!F12, '2º Trimestre'!H12, '2º Trimestre'!I12)</f>
        <v>4.333333333333333</v>
      </c>
      <c r="K12" s="22">
        <f t="shared" si="0"/>
        <v>4.517500000000001</v>
      </c>
    </row>
    <row r="13" spans="1:11" ht="19.95" customHeight="1">
      <c r="A13" s="5">
        <v>5</v>
      </c>
      <c r="B13" s="6" t="s">
        <v>24</v>
      </c>
      <c r="C13" s="7">
        <f>AVERAGE('1er Trimestre'!C13, '1er Trimestre'!E13, '1er Trimestre'!H13, '2º Trimestre'!H13)</f>
        <v>7.375</v>
      </c>
      <c r="D13" s="7">
        <f>AVERAGE('1er Trimestre'!D13, '1er Trimestre'!H13, '2º Trimestre'!H13)</f>
        <v>7.666666666666667</v>
      </c>
      <c r="E13" s="7">
        <f>AVERAGE('1er Trimestre'!G13, '2º Trimestre'!C13, '2º Trimestre'!D13, '2º Trimestre'!H13, '2º Trimestre'!I13)</f>
        <v>7.8</v>
      </c>
      <c r="F13" s="7">
        <f>AVERAGE('1er Trimestre'!F13, '2º Trimestre'!C13, '2º Trimestre'!H13)</f>
        <v>7.5</v>
      </c>
      <c r="G13" s="7">
        <f>AVERAGE('2º Trimestre'!E13, '2º Trimestre'!H13, '2º Trimestre'!I13)</f>
        <v>7.833333333333333</v>
      </c>
      <c r="H13" s="7">
        <f>AVERAGE('2º Trimestre'!D13, '2º Trimestre'!H13)</f>
        <v>7.75</v>
      </c>
      <c r="I13" s="7">
        <f>AVERAGE('2º Trimestre'!G13, '2º Trimestre'!H13, '2º Trimestre'!I13)</f>
        <v>7.833333333333333</v>
      </c>
      <c r="J13" s="7">
        <f>AVERAGE('2º Trimestre'!F13, '2º Trimestre'!H13, '2º Trimestre'!I13)</f>
        <v>7.666666666666667</v>
      </c>
      <c r="K13" s="22">
        <f t="shared" si="0"/>
        <v>7.6400000000000015</v>
      </c>
    </row>
    <row r="14" spans="1:11" ht="19.95" customHeight="1">
      <c r="A14" s="11">
        <v>6</v>
      </c>
      <c r="B14" s="12" t="s">
        <v>25</v>
      </c>
      <c r="C14" s="13">
        <f>AVERAGE('1er Trimestre'!C14, '1er Trimestre'!E14, '1er Trimestre'!H14, '2º Trimestre'!H14)</f>
        <v>8.25</v>
      </c>
      <c r="D14" s="13">
        <f>AVERAGE('1er Trimestre'!D14, '1er Trimestre'!H14, '2º Trimestre'!H14)</f>
        <v>8</v>
      </c>
      <c r="E14" s="13">
        <f>AVERAGE('1er Trimestre'!G14, '2º Trimestre'!C14, '2º Trimestre'!D14, '2º Trimestre'!H14, '2º Trimestre'!I14)</f>
        <v>8.3000000000000007</v>
      </c>
      <c r="F14" s="13">
        <f>AVERAGE('1er Trimestre'!F14, '2º Trimestre'!C14, '2º Trimestre'!H14)</f>
        <v>8.1666666666666661</v>
      </c>
      <c r="G14" s="13">
        <f>AVERAGE('2º Trimestre'!E14, '2º Trimestre'!H14, '2º Trimestre'!I14)</f>
        <v>8.1666666666666661</v>
      </c>
      <c r="H14" s="13">
        <f>AVERAGE('2º Trimestre'!D14, '2º Trimestre'!H14)</f>
        <v>8.5</v>
      </c>
      <c r="I14" s="13">
        <f>AVERAGE('2º Trimestre'!G14, '2º Trimestre'!H14, '2º Trimestre'!I14)</f>
        <v>8.1666666666666661</v>
      </c>
      <c r="J14" s="13">
        <f>AVERAGE('2º Trimestre'!F14, '2º Trimestre'!H14, '2º Trimestre'!I14)</f>
        <v>8.3333333333333339</v>
      </c>
      <c r="K14" s="22">
        <f t="shared" si="0"/>
        <v>8.2249999999999996</v>
      </c>
    </row>
    <row r="15" spans="1:11" ht="19.95" customHeight="1">
      <c r="A15" s="5">
        <v>7</v>
      </c>
      <c r="B15" s="6" t="s">
        <v>26</v>
      </c>
      <c r="C15" s="7">
        <f>AVERAGE('1er Trimestre'!C15, '1er Trimestre'!E15, '1er Trimestre'!H15, '2º Trimestre'!H15)</f>
        <v>9.25</v>
      </c>
      <c r="D15" s="7">
        <f>AVERAGE('1er Trimestre'!D15, '1er Trimestre'!H15, '2º Trimestre'!H15)</f>
        <v>9</v>
      </c>
      <c r="E15" s="7">
        <f>AVERAGE('1er Trimestre'!G15, '2º Trimestre'!C15, '2º Trimestre'!D15, '2º Trimestre'!H15, '2º Trimestre'!I15)</f>
        <v>9.1999999999999993</v>
      </c>
      <c r="F15" s="7">
        <f>AVERAGE('1er Trimestre'!F15, '2º Trimestre'!C15, '2º Trimestre'!H15)</f>
        <v>9.1666666666666661</v>
      </c>
      <c r="G15" s="7">
        <f>AVERAGE('2º Trimestre'!E15, '2º Trimestre'!H15, '2º Trimestre'!I15)</f>
        <v>9.1666666666666661</v>
      </c>
      <c r="H15" s="7">
        <f>AVERAGE('2º Trimestre'!D15, '2º Trimestre'!H15)</f>
        <v>9.5</v>
      </c>
      <c r="I15" s="7">
        <f>AVERAGE('2º Trimestre'!G15, '2º Trimestre'!H15, '2º Trimestre'!I15)</f>
        <v>9.1666666666666661</v>
      </c>
      <c r="J15" s="7">
        <f>AVERAGE('2º Trimestre'!F15, '2º Trimestre'!H15, '2º Trimestre'!I15)</f>
        <v>9.3333333333333339</v>
      </c>
      <c r="K15" s="22">
        <f t="shared" si="0"/>
        <v>9.2049999999999983</v>
      </c>
    </row>
    <row r="16" spans="1:11" ht="19.95" customHeight="1">
      <c r="A16" s="11">
        <v>8</v>
      </c>
      <c r="B16" s="12" t="s">
        <v>27</v>
      </c>
      <c r="C16" s="13">
        <f>AVERAGE('1er Trimestre'!C16, '1er Trimestre'!E16, '1er Trimestre'!H16, '2º Trimestre'!H16)</f>
        <v>5.5</v>
      </c>
      <c r="D16" s="13">
        <f>AVERAGE('1er Trimestre'!D16, '1er Trimestre'!H16, '2º Trimestre'!H16)</f>
        <v>5.833333333333333</v>
      </c>
      <c r="E16" s="13">
        <f>AVERAGE('1er Trimestre'!G16, '2º Trimestre'!C16, '2º Trimestre'!D16, '2º Trimestre'!H16, '2º Trimestre'!I16)</f>
        <v>5.8</v>
      </c>
      <c r="F16" s="13">
        <f>AVERAGE('1er Trimestre'!F16, '2º Trimestre'!C16, '2º Trimestre'!H16)</f>
        <v>5.5</v>
      </c>
      <c r="G16" s="13">
        <f>AVERAGE('2º Trimestre'!E16, '2º Trimestre'!H16, '2º Trimestre'!I16)</f>
        <v>5.666666666666667</v>
      </c>
      <c r="H16" s="13">
        <f>AVERAGE('2º Trimestre'!D16, '2º Trimestre'!H16)</f>
        <v>6</v>
      </c>
      <c r="I16" s="13">
        <f>AVERAGE('2º Trimestre'!G16, '2º Trimestre'!H16, '2º Trimestre'!I16)</f>
        <v>5.666666666666667</v>
      </c>
      <c r="J16" s="13">
        <f>AVERAGE('2º Trimestre'!F16, '2º Trimestre'!H16, '2º Trimestre'!I16)</f>
        <v>5.833333333333333</v>
      </c>
      <c r="K16" s="22">
        <f t="shared" si="0"/>
        <v>5.7050000000000001</v>
      </c>
    </row>
    <row r="17" spans="1:11" ht="19.95" customHeight="1">
      <c r="A17" s="5">
        <v>9</v>
      </c>
      <c r="B17" s="6" t="s">
        <v>28</v>
      </c>
      <c r="C17" s="7">
        <f>AVERAGE('1er Trimestre'!C17, '1er Trimestre'!E17, '1er Trimestre'!H17, '2º Trimestre'!H17)</f>
        <v>9.875</v>
      </c>
      <c r="D17" s="7">
        <f>AVERAGE('1er Trimestre'!D17, '1er Trimestre'!H17, '2º Trimestre'!H17)</f>
        <v>9.8333333333333339</v>
      </c>
      <c r="E17" s="7">
        <f>AVERAGE('1er Trimestre'!G17, '2º Trimestre'!C17, '2º Trimestre'!D17, '2º Trimestre'!H17, '2º Trimestre'!I17)</f>
        <v>9.8000000000000007</v>
      </c>
      <c r="F17" s="7">
        <f>AVERAGE('1er Trimestre'!F17, '2º Trimestre'!C17, '2º Trimestre'!H17)</f>
        <v>10</v>
      </c>
      <c r="G17" s="7">
        <f>AVERAGE('2º Trimestre'!E17, '2º Trimestre'!H17, '2º Trimestre'!I17)</f>
        <v>10</v>
      </c>
      <c r="H17" s="7">
        <f>AVERAGE('2º Trimestre'!D17, '2º Trimestre'!H17)</f>
        <v>9.75</v>
      </c>
      <c r="I17" s="7">
        <f>AVERAGE('2º Trimestre'!G17, '2º Trimestre'!H17, '2º Trimestre'!I17)</f>
        <v>9.8333333333333339</v>
      </c>
      <c r="J17" s="7">
        <f>AVERAGE('2º Trimestre'!F17, '2º Trimestre'!H17, '2º Trimestre'!I17)</f>
        <v>10</v>
      </c>
      <c r="K17" s="22">
        <f t="shared" si="0"/>
        <v>9.8716666666666679</v>
      </c>
    </row>
    <row r="18" spans="1:11" ht="19.95" customHeight="1">
      <c r="A18" s="11">
        <v>10</v>
      </c>
      <c r="B18" s="12" t="s">
        <v>29</v>
      </c>
      <c r="C18" s="13">
        <f>AVERAGE('1er Trimestre'!C18, '1er Trimestre'!E18, '1er Trimestre'!H18, '2º Trimestre'!H18)</f>
        <v>3.75</v>
      </c>
      <c r="D18" s="13">
        <f>AVERAGE('1er Trimestre'!D18, '1er Trimestre'!H18, '2º Trimestre'!H18)</f>
        <v>3.8333333333333335</v>
      </c>
      <c r="E18" s="13">
        <f>AVERAGE('1er Trimestre'!G18, '2º Trimestre'!C18, '2º Trimestre'!D18, '2º Trimestre'!H18, '2º Trimestre'!I18)</f>
        <v>4.0999999999999996</v>
      </c>
      <c r="F18" s="13">
        <f>AVERAGE('1er Trimestre'!F18, '2º Trimestre'!C18, '2º Trimestre'!H18)</f>
        <v>4.166666666666667</v>
      </c>
      <c r="G18" s="13">
        <f>AVERAGE('2º Trimestre'!E18, '2º Trimestre'!H18, '2º Trimestre'!I18)</f>
        <v>4</v>
      </c>
      <c r="H18" s="13">
        <f>AVERAGE('2º Trimestre'!D18, '2º Trimestre'!H18)</f>
        <v>4.25</v>
      </c>
      <c r="I18" s="13">
        <f>AVERAGE('2º Trimestre'!G18, '2º Trimestre'!H18, '2º Trimestre'!I18)</f>
        <v>4.166666666666667</v>
      </c>
      <c r="J18" s="13">
        <f>AVERAGE('2º Trimestre'!F18, '2º Trimestre'!H18, '2º Trimestre'!I18)</f>
        <v>4</v>
      </c>
      <c r="K18" s="22">
        <f t="shared" si="0"/>
        <v>3.9908333333333332</v>
      </c>
    </row>
    <row r="19" spans="1:11" ht="19.95" customHeight="1">
      <c r="A19" s="5">
        <v>11</v>
      </c>
      <c r="B19" s="6" t="s">
        <v>30</v>
      </c>
      <c r="C19" s="7">
        <f>AVERAGE('1er Trimestre'!C19, '1er Trimestre'!E19, '1er Trimestre'!H19, '2º Trimestre'!H19)</f>
        <v>8.25</v>
      </c>
      <c r="D19" s="7">
        <f>AVERAGE('1er Trimestre'!D19, '1er Trimestre'!H19, '2º Trimestre'!H19)</f>
        <v>8.5</v>
      </c>
      <c r="E19" s="7">
        <f>AVERAGE('1er Trimestre'!G19, '2º Trimestre'!C19, '2º Trimestre'!D19, '2º Trimestre'!H19, '2º Trimestre'!I19)</f>
        <v>8.3000000000000007</v>
      </c>
      <c r="F19" s="7">
        <f>AVERAGE('1er Trimestre'!F19, '2º Trimestre'!C19, '2º Trimestre'!H19)</f>
        <v>8.5</v>
      </c>
      <c r="G19" s="7">
        <f>AVERAGE('2º Trimestre'!E19, '2º Trimestre'!H19, '2º Trimestre'!I19)</f>
        <v>8.5</v>
      </c>
      <c r="H19" s="7">
        <f>AVERAGE('2º Trimestre'!D19, '2º Trimestre'!H19)</f>
        <v>8.25</v>
      </c>
      <c r="I19" s="7">
        <f>AVERAGE('2º Trimestre'!G19, '2º Trimestre'!H19, '2º Trimestre'!I19)</f>
        <v>8.3333333333333339</v>
      </c>
      <c r="J19" s="7">
        <f>AVERAGE('2º Trimestre'!F19, '2º Trimestre'!H19, '2º Trimestre'!I19)</f>
        <v>8.5</v>
      </c>
      <c r="K19" s="22">
        <f t="shared" si="0"/>
        <v>8.3708333333333318</v>
      </c>
    </row>
    <row r="20" spans="1:11" ht="19.95" customHeight="1">
      <c r="A20" s="11">
        <v>12</v>
      </c>
      <c r="B20" s="12" t="s">
        <v>31</v>
      </c>
      <c r="C20" s="13">
        <f>AVERAGE('1er Trimestre'!C20, '1er Trimestre'!E20, '1er Trimestre'!H20, '2º Trimestre'!H20)</f>
        <v>7.125</v>
      </c>
      <c r="D20" s="13">
        <f>AVERAGE('1er Trimestre'!D20, '1er Trimestre'!H20, '2º Trimestre'!H20)</f>
        <v>6.833333333333333</v>
      </c>
      <c r="E20" s="13">
        <f>AVERAGE('1er Trimestre'!G20, '2º Trimestre'!C20, '2º Trimestre'!D20, '2º Trimestre'!H20, '2º Trimestre'!I20)</f>
        <v>7.2</v>
      </c>
      <c r="F20" s="13">
        <f>AVERAGE('1er Trimestre'!F20, '2º Trimestre'!C20, '2º Trimestre'!H20)</f>
        <v>7.166666666666667</v>
      </c>
      <c r="G20" s="13">
        <f>AVERAGE('2º Trimestre'!E20, '2º Trimestre'!H20, '2º Trimestre'!I20)</f>
        <v>7.333333333333333</v>
      </c>
      <c r="H20" s="13">
        <f>AVERAGE('2º Trimestre'!D20, '2º Trimestre'!H20)</f>
        <v>7</v>
      </c>
      <c r="I20" s="13">
        <f>AVERAGE('2º Trimestre'!G20, '2º Trimestre'!H20, '2º Trimestre'!I20)</f>
        <v>7.333333333333333</v>
      </c>
      <c r="J20" s="13">
        <f>AVERAGE('2º Trimestre'!F20, '2º Trimestre'!H20, '2º Trimestre'!I20)</f>
        <v>7.166666666666667</v>
      </c>
      <c r="K20" s="22">
        <f t="shared" si="0"/>
        <v>7.1225000000000005</v>
      </c>
    </row>
    <row r="21" spans="1:11" ht="19.95" customHeight="1">
      <c r="A21" s="5">
        <v>13</v>
      </c>
      <c r="B21" s="6" t="s">
        <v>32</v>
      </c>
      <c r="C21" s="7">
        <f>AVERAGE('1er Trimestre'!C21, '1er Trimestre'!E21, '1er Trimestre'!H21, '2º Trimestre'!H21)</f>
        <v>6.375</v>
      </c>
      <c r="D21" s="7">
        <f>AVERAGE('1er Trimestre'!D21, '1er Trimestre'!H21, '2º Trimestre'!H21)</f>
        <v>6.666666666666667</v>
      </c>
      <c r="E21" s="7">
        <f>AVERAGE('1er Trimestre'!G21, '2º Trimestre'!C21, '2º Trimestre'!D21, '2º Trimestre'!H21, '2º Trimestre'!I21)</f>
        <v>6.8</v>
      </c>
      <c r="F21" s="7">
        <f>AVERAGE('1er Trimestre'!F21, '2º Trimestre'!C21, '2º Trimestre'!H21)</f>
        <v>6.666666666666667</v>
      </c>
      <c r="G21" s="7">
        <f>AVERAGE('2º Trimestre'!E21, '2º Trimestre'!H21, '2º Trimestre'!I21)</f>
        <v>6.833333333333333</v>
      </c>
      <c r="H21" s="7">
        <f>AVERAGE('2º Trimestre'!D21, '2º Trimestre'!H21)</f>
        <v>6.5</v>
      </c>
      <c r="I21" s="7">
        <f>AVERAGE('2º Trimestre'!G21, '2º Trimestre'!H21, '2º Trimestre'!I21)</f>
        <v>6.833333333333333</v>
      </c>
      <c r="J21" s="7">
        <f>AVERAGE('2º Trimestre'!F21, '2º Trimestre'!H21, '2º Trimestre'!I21)</f>
        <v>6.666666666666667</v>
      </c>
      <c r="K21" s="22">
        <f t="shared" si="0"/>
        <v>6.640833333333334</v>
      </c>
    </row>
    <row r="22" spans="1:11" ht="19.95" customHeight="1">
      <c r="A22" s="11">
        <v>14</v>
      </c>
      <c r="B22" s="12" t="s">
        <v>33</v>
      </c>
      <c r="C22" s="13">
        <f>AVERAGE('1er Trimestre'!C22, '1er Trimestre'!E22, '1er Trimestre'!H22, '2º Trimestre'!H22)</f>
        <v>8.75</v>
      </c>
      <c r="D22" s="13">
        <f>AVERAGE('1er Trimestre'!D22, '1er Trimestre'!H22, '2º Trimestre'!H22)</f>
        <v>9</v>
      </c>
      <c r="E22" s="13">
        <f>AVERAGE('1er Trimestre'!G22, '2º Trimestre'!C22, '2º Trimestre'!D22, '2º Trimestre'!H22, '2º Trimestre'!I22)</f>
        <v>8.8000000000000007</v>
      </c>
      <c r="F22" s="13">
        <f>AVERAGE('1er Trimestre'!F22, '2º Trimestre'!C22, '2º Trimestre'!H22)</f>
        <v>9</v>
      </c>
      <c r="G22" s="13">
        <f>AVERAGE('2º Trimestre'!E22, '2º Trimestre'!H22, '2º Trimestre'!I22)</f>
        <v>9</v>
      </c>
      <c r="H22" s="13">
        <f>AVERAGE('2º Trimestre'!D22, '2º Trimestre'!H22)</f>
        <v>8.75</v>
      </c>
      <c r="I22" s="13">
        <f>AVERAGE('2º Trimestre'!G22, '2º Trimestre'!H22, '2º Trimestre'!I22)</f>
        <v>8.8333333333333339</v>
      </c>
      <c r="J22" s="13">
        <f>AVERAGE('2º Trimestre'!F22, '2º Trimestre'!H22, '2º Trimestre'!I22)</f>
        <v>9</v>
      </c>
      <c r="K22" s="22">
        <f t="shared" si="0"/>
        <v>8.8708333333333336</v>
      </c>
    </row>
    <row r="23" spans="1:11" ht="19.95" customHeight="1">
      <c r="A23" s="5">
        <v>15</v>
      </c>
      <c r="B23" s="6" t="s">
        <v>34</v>
      </c>
      <c r="C23" s="7">
        <f>AVERAGE('1er Trimestre'!C23, '1er Trimestre'!E23, '1er Trimestre'!H23, '2º Trimestre'!H23)</f>
        <v>9.25</v>
      </c>
      <c r="D23" s="7">
        <f>AVERAGE('1er Trimestre'!D23, '1er Trimestre'!H23, '2º Trimestre'!H23)</f>
        <v>9.5</v>
      </c>
      <c r="E23" s="7">
        <f>AVERAGE('1er Trimestre'!G23, '2º Trimestre'!C23, '2º Trimestre'!D23, '2º Trimestre'!H23, '2º Trimestre'!I23)</f>
        <v>9.3000000000000007</v>
      </c>
      <c r="F23" s="7">
        <f>AVERAGE('1er Trimestre'!F23, '2º Trimestre'!C23, '2º Trimestre'!H23)</f>
        <v>9.5</v>
      </c>
      <c r="G23" s="7">
        <f>AVERAGE('2º Trimestre'!E23, '2º Trimestre'!H23, '2º Trimestre'!I23)</f>
        <v>9.5</v>
      </c>
      <c r="H23" s="7">
        <f>AVERAGE('2º Trimestre'!D23, '2º Trimestre'!H23)</f>
        <v>9.25</v>
      </c>
      <c r="I23" s="7">
        <f>AVERAGE('2º Trimestre'!G23, '2º Trimestre'!H23, '2º Trimestre'!I23)</f>
        <v>9.5</v>
      </c>
      <c r="J23" s="7">
        <f>AVERAGE('2º Trimestre'!F23, '2º Trimestre'!H23, '2º Trimestre'!I23)</f>
        <v>9.6666666666666661</v>
      </c>
      <c r="K23" s="22">
        <f t="shared" si="0"/>
        <v>9.4041666666666668</v>
      </c>
    </row>
    <row r="24" spans="1:11" ht="24" customHeight="1">
      <c r="A24" s="31" t="s">
        <v>35</v>
      </c>
      <c r="B24" s="32"/>
      <c r="C24" s="16">
        <f t="shared" ref="C24:K24" si="1">AVERAGE(C9:C23)</f>
        <v>7.5083333333333337</v>
      </c>
      <c r="D24" s="16">
        <f t="shared" si="1"/>
        <v>7.5777777777777784</v>
      </c>
      <c r="E24" s="16">
        <f t="shared" si="1"/>
        <v>7.6466666666666647</v>
      </c>
      <c r="F24" s="16">
        <f t="shared" si="1"/>
        <v>7.7000000000000011</v>
      </c>
      <c r="G24" s="16">
        <f t="shared" si="1"/>
        <v>7.6999999999999993</v>
      </c>
      <c r="H24" s="16">
        <f t="shared" si="1"/>
        <v>7.666666666666667</v>
      </c>
      <c r="I24" s="16">
        <f t="shared" si="1"/>
        <v>7.6555555555555541</v>
      </c>
      <c r="J24" s="16">
        <f t="shared" si="1"/>
        <v>7.7111111111111121</v>
      </c>
      <c r="K24" s="16">
        <f t="shared" si="1"/>
        <v>7.6219444444444457</v>
      </c>
    </row>
  </sheetData>
  <mergeCells count="3">
    <mergeCell ref="A2:K2"/>
    <mergeCell ref="A1:K1"/>
    <mergeCell ref="A24:B24"/>
  </mergeCells>
  <conditionalFormatting sqref="K9:K23">
    <cfRule type="cellIs" dxfId="3" priority="1" stopIfTrue="1" operator="greaterThanOrEqual">
      <formula>5</formula>
    </cfRule>
    <cfRule type="cellIs" dxfId="2" priority="2" stopIfTrue="1" operator="lessThan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tabSelected="1" workbookViewId="0">
      <selection sqref="A1:F1"/>
    </sheetView>
  </sheetViews>
  <sheetFormatPr baseColWidth="10" defaultColWidth="8.88671875" defaultRowHeight="14.4"/>
  <cols>
    <col min="1" max="1" width="42.6640625" customWidth="1"/>
    <col min="2" max="2" width="19.21875" customWidth="1"/>
    <col min="3" max="3" width="88.33203125" customWidth="1"/>
    <col min="4" max="4" width="22" customWidth="1"/>
    <col min="5" max="5" width="32" customWidth="1"/>
    <col min="6" max="6" width="12" customWidth="1"/>
  </cols>
  <sheetData>
    <row r="1" spans="1:6" ht="36" customHeight="1">
      <c r="A1" s="38" t="s">
        <v>101</v>
      </c>
      <c r="B1" s="30"/>
      <c r="C1" s="30"/>
      <c r="D1" s="30"/>
      <c r="E1" s="30"/>
      <c r="F1" s="30"/>
    </row>
    <row r="3" spans="1:6" ht="28.05" customHeight="1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</row>
    <row r="4" spans="1:6" ht="42" customHeight="1">
      <c r="A4" s="12" t="s">
        <v>108</v>
      </c>
      <c r="B4" s="23" t="s">
        <v>109</v>
      </c>
      <c r="C4" s="24" t="s">
        <v>110</v>
      </c>
      <c r="D4" s="24" t="s">
        <v>111</v>
      </c>
      <c r="E4" s="24" t="s">
        <v>112</v>
      </c>
      <c r="F4" s="11" t="s">
        <v>113</v>
      </c>
    </row>
    <row r="5" spans="1:6" ht="42" customHeight="1">
      <c r="A5" s="6" t="s">
        <v>114</v>
      </c>
      <c r="B5" s="23" t="s">
        <v>115</v>
      </c>
      <c r="C5" s="25" t="s">
        <v>116</v>
      </c>
      <c r="D5" s="25" t="s">
        <v>39</v>
      </c>
      <c r="E5" s="25" t="s">
        <v>117</v>
      </c>
      <c r="F5" s="5" t="s">
        <v>118</v>
      </c>
    </row>
    <row r="6" spans="1:6" ht="42" customHeight="1">
      <c r="A6" s="12" t="s">
        <v>119</v>
      </c>
      <c r="B6" s="23" t="s">
        <v>120</v>
      </c>
      <c r="C6" s="24" t="s">
        <v>121</v>
      </c>
      <c r="D6" s="24" t="s">
        <v>122</v>
      </c>
      <c r="E6" s="24" t="s">
        <v>123</v>
      </c>
      <c r="F6" s="11" t="s">
        <v>113</v>
      </c>
    </row>
    <row r="7" spans="1:6" ht="42" customHeight="1">
      <c r="A7" s="6" t="s">
        <v>124</v>
      </c>
      <c r="B7" s="23" t="s">
        <v>125</v>
      </c>
      <c r="C7" s="25" t="s">
        <v>126</v>
      </c>
      <c r="D7" s="25" t="s">
        <v>127</v>
      </c>
      <c r="E7" s="25" t="s">
        <v>128</v>
      </c>
      <c r="F7" s="5" t="s">
        <v>113</v>
      </c>
    </row>
    <row r="8" spans="1:6" ht="42" customHeight="1">
      <c r="A8" s="12" t="s">
        <v>129</v>
      </c>
      <c r="B8" s="23" t="s">
        <v>130</v>
      </c>
      <c r="C8" s="24" t="s">
        <v>131</v>
      </c>
      <c r="D8" s="24" t="s">
        <v>67</v>
      </c>
      <c r="E8" s="24" t="s">
        <v>132</v>
      </c>
      <c r="F8" s="11" t="s">
        <v>133</v>
      </c>
    </row>
    <row r="9" spans="1:6" ht="42" customHeight="1">
      <c r="A9" s="6" t="s">
        <v>134</v>
      </c>
      <c r="B9" s="23" t="s">
        <v>135</v>
      </c>
      <c r="C9" s="25" t="s">
        <v>136</v>
      </c>
      <c r="D9" s="25" t="s">
        <v>137</v>
      </c>
      <c r="E9" s="25" t="s">
        <v>138</v>
      </c>
      <c r="F9" s="5" t="s">
        <v>133</v>
      </c>
    </row>
    <row r="10" spans="1:6" ht="42" customHeight="1">
      <c r="A10" s="12" t="s">
        <v>139</v>
      </c>
      <c r="B10" s="23" t="s">
        <v>140</v>
      </c>
      <c r="C10" s="24" t="s">
        <v>141</v>
      </c>
      <c r="D10" s="24" t="s">
        <v>69</v>
      </c>
      <c r="E10" s="24" t="s">
        <v>142</v>
      </c>
      <c r="F10" s="11" t="s">
        <v>133</v>
      </c>
    </row>
    <row r="11" spans="1:6" ht="42" customHeight="1">
      <c r="A11" s="6" t="s">
        <v>143</v>
      </c>
      <c r="B11" s="23" t="s">
        <v>140</v>
      </c>
      <c r="C11" s="25" t="s">
        <v>144</v>
      </c>
      <c r="D11" s="25" t="s">
        <v>68</v>
      </c>
      <c r="E11" s="25" t="s">
        <v>145</v>
      </c>
      <c r="F11" s="5" t="s">
        <v>133</v>
      </c>
    </row>
    <row r="12" spans="1:6" ht="24" customHeight="1">
      <c r="A12" s="26" t="s">
        <v>146</v>
      </c>
      <c r="B12" s="27" t="s">
        <v>147</v>
      </c>
      <c r="C12" s="17"/>
      <c r="D12" s="17"/>
      <c r="E12" s="17"/>
      <c r="F12" s="17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/>
  </sheetViews>
  <sheetFormatPr baseColWidth="10" defaultColWidth="8.88671875" defaultRowHeight="14.4"/>
  <cols>
    <col min="1" max="1" width="5" customWidth="1"/>
    <col min="2" max="2" width="25" customWidth="1"/>
    <col min="3" max="3" width="15" customWidth="1"/>
    <col min="4" max="4" width="22" customWidth="1"/>
    <col min="5" max="5" width="20" customWidth="1"/>
    <col min="6" max="6" width="14" customWidth="1"/>
    <col min="7" max="8" width="18" customWidth="1"/>
    <col min="9" max="10" width="20" customWidth="1"/>
  </cols>
  <sheetData>
    <row r="1" spans="1:10" ht="36" customHeight="1">
      <c r="A1" s="38" t="s">
        <v>148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95" customHeight="1">
      <c r="A2" s="33" t="s">
        <v>149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37.950000000000003" customHeight="1">
      <c r="A4" s="1" t="s">
        <v>6</v>
      </c>
      <c r="B4" s="1" t="s">
        <v>7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  <c r="H4" s="20" t="s">
        <v>155</v>
      </c>
      <c r="I4" s="20" t="s">
        <v>156</v>
      </c>
      <c r="J4" s="20" t="s">
        <v>157</v>
      </c>
    </row>
    <row r="5" spans="1:10" ht="19.95" customHeight="1">
      <c r="A5" s="5">
        <v>1</v>
      </c>
      <c r="B5" s="6" t="s">
        <v>20</v>
      </c>
      <c r="C5" s="22">
        <f>'Resumen y Calificaciones'!M9</f>
        <v>8.7233333333333327</v>
      </c>
      <c r="D5" s="25" t="s">
        <v>158</v>
      </c>
      <c r="E5" s="25" t="s">
        <v>159</v>
      </c>
      <c r="F5" s="5">
        <v>86</v>
      </c>
      <c r="G5" s="10" t="str">
        <f t="shared" ref="G5:G19" si="0">IF(C5&gt;=5, "APTO", "PENDIENTE")</f>
        <v>APTO</v>
      </c>
      <c r="H5" s="5" t="str">
        <f t="shared" ref="H5:H19" si="1">IF(C5&lt;5, "RA1, RA3", "Ninguno")</f>
        <v>Ninguno</v>
      </c>
      <c r="I5" s="7"/>
      <c r="J5" s="28">
        <f t="shared" ref="J5:J19" si="2">IF(ISBLANK(I5), C5, MAX(C5, I5))</f>
        <v>8.7233333333333327</v>
      </c>
    </row>
    <row r="6" spans="1:10" ht="19.95" customHeight="1">
      <c r="A6" s="11">
        <v>2</v>
      </c>
      <c r="B6" s="12" t="s">
        <v>21</v>
      </c>
      <c r="C6" s="22">
        <f>'Resumen y Calificaciones'!M10</f>
        <v>6.2558333333333334</v>
      </c>
      <c r="D6" s="24" t="s">
        <v>160</v>
      </c>
      <c r="E6" s="24" t="s">
        <v>161</v>
      </c>
      <c r="F6" s="11">
        <v>86</v>
      </c>
      <c r="G6" s="15" t="str">
        <f t="shared" si="0"/>
        <v>APTO</v>
      </c>
      <c r="H6" s="11" t="str">
        <f t="shared" si="1"/>
        <v>Ninguno</v>
      </c>
      <c r="I6" s="13"/>
      <c r="J6" s="28">
        <f t="shared" si="2"/>
        <v>6.2558333333333334</v>
      </c>
    </row>
    <row r="7" spans="1:10" ht="19.95" customHeight="1">
      <c r="A7" s="5">
        <v>3</v>
      </c>
      <c r="B7" s="6" t="s">
        <v>22</v>
      </c>
      <c r="C7" s="22">
        <f>'Resumen y Calificaciones'!M11</f>
        <v>9.7858333333333345</v>
      </c>
      <c r="D7" s="25" t="s">
        <v>158</v>
      </c>
      <c r="E7" s="25" t="s">
        <v>159</v>
      </c>
      <c r="F7" s="5">
        <v>86</v>
      </c>
      <c r="G7" s="10" t="str">
        <f t="shared" si="0"/>
        <v>APTO</v>
      </c>
      <c r="H7" s="5" t="str">
        <f t="shared" si="1"/>
        <v>Ninguno</v>
      </c>
      <c r="I7" s="7"/>
      <c r="J7" s="28">
        <f t="shared" si="2"/>
        <v>9.7858333333333345</v>
      </c>
    </row>
    <row r="8" spans="1:10" ht="19.95" customHeight="1">
      <c r="A8" s="11">
        <v>4</v>
      </c>
      <c r="B8" s="12" t="s">
        <v>23</v>
      </c>
      <c r="C8" s="22">
        <f>'Resumen y Calificaciones'!M12</f>
        <v>4.517500000000001</v>
      </c>
      <c r="D8" s="24" t="s">
        <v>160</v>
      </c>
      <c r="E8" s="24" t="s">
        <v>161</v>
      </c>
      <c r="F8" s="11">
        <v>86</v>
      </c>
      <c r="G8" s="15" t="str">
        <f t="shared" si="0"/>
        <v>PENDIENTE</v>
      </c>
      <c r="H8" s="11" t="str">
        <f t="shared" si="1"/>
        <v>RA1, RA3</v>
      </c>
      <c r="I8" s="13"/>
      <c r="J8" s="28">
        <f t="shared" si="2"/>
        <v>4.517500000000001</v>
      </c>
    </row>
    <row r="9" spans="1:10" ht="19.95" customHeight="1">
      <c r="A9" s="5">
        <v>5</v>
      </c>
      <c r="B9" s="6" t="s">
        <v>24</v>
      </c>
      <c r="C9" s="22">
        <f>'Resumen y Calificaciones'!M13</f>
        <v>7.6400000000000015</v>
      </c>
      <c r="D9" s="25" t="s">
        <v>158</v>
      </c>
      <c r="E9" s="25" t="s">
        <v>159</v>
      </c>
      <c r="F9" s="5">
        <v>86</v>
      </c>
      <c r="G9" s="10" t="str">
        <f t="shared" si="0"/>
        <v>APTO</v>
      </c>
      <c r="H9" s="5" t="str">
        <f t="shared" si="1"/>
        <v>Ninguno</v>
      </c>
      <c r="I9" s="7"/>
      <c r="J9" s="28">
        <f t="shared" si="2"/>
        <v>7.6400000000000015</v>
      </c>
    </row>
    <row r="10" spans="1:10" ht="19.95" customHeight="1">
      <c r="A10" s="11">
        <v>6</v>
      </c>
      <c r="B10" s="12" t="s">
        <v>25</v>
      </c>
      <c r="C10" s="22">
        <f>'Resumen y Calificaciones'!M14</f>
        <v>8.2249999999999996</v>
      </c>
      <c r="D10" s="24" t="s">
        <v>160</v>
      </c>
      <c r="E10" s="24" t="s">
        <v>161</v>
      </c>
      <c r="F10" s="11">
        <v>86</v>
      </c>
      <c r="G10" s="15" t="str">
        <f t="shared" si="0"/>
        <v>APTO</v>
      </c>
      <c r="H10" s="11" t="str">
        <f t="shared" si="1"/>
        <v>Ninguno</v>
      </c>
      <c r="I10" s="13"/>
      <c r="J10" s="28">
        <f t="shared" si="2"/>
        <v>8.2249999999999996</v>
      </c>
    </row>
    <row r="11" spans="1:10" ht="19.95" customHeight="1">
      <c r="A11" s="5">
        <v>7</v>
      </c>
      <c r="B11" s="6" t="s">
        <v>26</v>
      </c>
      <c r="C11" s="22">
        <f>'Resumen y Calificaciones'!M15</f>
        <v>9.2049999999999983</v>
      </c>
      <c r="D11" s="25" t="s">
        <v>158</v>
      </c>
      <c r="E11" s="25" t="s">
        <v>159</v>
      </c>
      <c r="F11" s="5">
        <v>86</v>
      </c>
      <c r="G11" s="10" t="str">
        <f t="shared" si="0"/>
        <v>APTO</v>
      </c>
      <c r="H11" s="5" t="str">
        <f t="shared" si="1"/>
        <v>Ninguno</v>
      </c>
      <c r="I11" s="7"/>
      <c r="J11" s="28">
        <f t="shared" si="2"/>
        <v>9.2049999999999983</v>
      </c>
    </row>
    <row r="12" spans="1:10" ht="19.95" customHeight="1">
      <c r="A12" s="11">
        <v>8</v>
      </c>
      <c r="B12" s="12" t="s">
        <v>27</v>
      </c>
      <c r="C12" s="22">
        <f>'Resumen y Calificaciones'!M16</f>
        <v>5.7050000000000001</v>
      </c>
      <c r="D12" s="24" t="s">
        <v>160</v>
      </c>
      <c r="E12" s="24" t="s">
        <v>161</v>
      </c>
      <c r="F12" s="11">
        <v>86</v>
      </c>
      <c r="G12" s="15" t="str">
        <f t="shared" si="0"/>
        <v>APTO</v>
      </c>
      <c r="H12" s="11" t="str">
        <f t="shared" si="1"/>
        <v>Ninguno</v>
      </c>
      <c r="I12" s="13"/>
      <c r="J12" s="28">
        <f t="shared" si="2"/>
        <v>5.7050000000000001</v>
      </c>
    </row>
    <row r="13" spans="1:10" ht="19.95" customHeight="1">
      <c r="A13" s="5">
        <v>9</v>
      </c>
      <c r="B13" s="6" t="s">
        <v>28</v>
      </c>
      <c r="C13" s="22">
        <f>'Resumen y Calificaciones'!M17</f>
        <v>9.8716666666666679</v>
      </c>
      <c r="D13" s="25" t="s">
        <v>158</v>
      </c>
      <c r="E13" s="25" t="s">
        <v>159</v>
      </c>
      <c r="F13" s="5">
        <v>86</v>
      </c>
      <c r="G13" s="10" t="str">
        <f t="shared" si="0"/>
        <v>APTO</v>
      </c>
      <c r="H13" s="5" t="str">
        <f t="shared" si="1"/>
        <v>Ninguno</v>
      </c>
      <c r="I13" s="7"/>
      <c r="J13" s="28">
        <f t="shared" si="2"/>
        <v>9.8716666666666679</v>
      </c>
    </row>
    <row r="14" spans="1:10" ht="19.95" customHeight="1">
      <c r="A14" s="11">
        <v>10</v>
      </c>
      <c r="B14" s="12" t="s">
        <v>29</v>
      </c>
      <c r="C14" s="22">
        <f>'Resumen y Calificaciones'!M18</f>
        <v>3.9908333333333332</v>
      </c>
      <c r="D14" s="24" t="s">
        <v>160</v>
      </c>
      <c r="E14" s="24" t="s">
        <v>161</v>
      </c>
      <c r="F14" s="11">
        <v>86</v>
      </c>
      <c r="G14" s="15" t="str">
        <f t="shared" si="0"/>
        <v>PENDIENTE</v>
      </c>
      <c r="H14" s="11" t="str">
        <f t="shared" si="1"/>
        <v>RA1, RA3</v>
      </c>
      <c r="I14" s="13"/>
      <c r="J14" s="28">
        <f t="shared" si="2"/>
        <v>3.9908333333333332</v>
      </c>
    </row>
    <row r="15" spans="1:10" ht="19.95" customHeight="1">
      <c r="A15" s="5">
        <v>11</v>
      </c>
      <c r="B15" s="6" t="s">
        <v>30</v>
      </c>
      <c r="C15" s="22">
        <f>'Resumen y Calificaciones'!M19</f>
        <v>8.3708333333333318</v>
      </c>
      <c r="D15" s="25" t="s">
        <v>158</v>
      </c>
      <c r="E15" s="25" t="s">
        <v>159</v>
      </c>
      <c r="F15" s="5">
        <v>86</v>
      </c>
      <c r="G15" s="10" t="str">
        <f t="shared" si="0"/>
        <v>APTO</v>
      </c>
      <c r="H15" s="5" t="str">
        <f t="shared" si="1"/>
        <v>Ninguno</v>
      </c>
      <c r="I15" s="7"/>
      <c r="J15" s="28">
        <f t="shared" si="2"/>
        <v>8.3708333333333318</v>
      </c>
    </row>
    <row r="16" spans="1:10" ht="19.95" customHeight="1">
      <c r="A16" s="11">
        <v>12</v>
      </c>
      <c r="B16" s="12" t="s">
        <v>31</v>
      </c>
      <c r="C16" s="22">
        <f>'Resumen y Calificaciones'!M20</f>
        <v>7.1225000000000005</v>
      </c>
      <c r="D16" s="24" t="s">
        <v>160</v>
      </c>
      <c r="E16" s="24" t="s">
        <v>161</v>
      </c>
      <c r="F16" s="11">
        <v>86</v>
      </c>
      <c r="G16" s="15" t="str">
        <f t="shared" si="0"/>
        <v>APTO</v>
      </c>
      <c r="H16" s="11" t="str">
        <f t="shared" si="1"/>
        <v>Ninguno</v>
      </c>
      <c r="I16" s="13"/>
      <c r="J16" s="28">
        <f t="shared" si="2"/>
        <v>7.1225000000000005</v>
      </c>
    </row>
    <row r="17" spans="1:10" ht="19.95" customHeight="1">
      <c r="A17" s="5">
        <v>13</v>
      </c>
      <c r="B17" s="6" t="s">
        <v>32</v>
      </c>
      <c r="C17" s="22">
        <f>'Resumen y Calificaciones'!M21</f>
        <v>6.640833333333334</v>
      </c>
      <c r="D17" s="25" t="s">
        <v>158</v>
      </c>
      <c r="E17" s="25" t="s">
        <v>159</v>
      </c>
      <c r="F17" s="5">
        <v>86</v>
      </c>
      <c r="G17" s="10" t="str">
        <f t="shared" si="0"/>
        <v>APTO</v>
      </c>
      <c r="H17" s="5" t="str">
        <f t="shared" si="1"/>
        <v>Ninguno</v>
      </c>
      <c r="I17" s="7"/>
      <c r="J17" s="28">
        <f t="shared" si="2"/>
        <v>6.640833333333334</v>
      </c>
    </row>
    <row r="18" spans="1:10" ht="19.95" customHeight="1">
      <c r="A18" s="11">
        <v>14</v>
      </c>
      <c r="B18" s="12" t="s">
        <v>33</v>
      </c>
      <c r="C18" s="22">
        <f>'Resumen y Calificaciones'!M22</f>
        <v>8.8708333333333336</v>
      </c>
      <c r="D18" s="24" t="s">
        <v>160</v>
      </c>
      <c r="E18" s="24" t="s">
        <v>161</v>
      </c>
      <c r="F18" s="11">
        <v>86</v>
      </c>
      <c r="G18" s="15" t="str">
        <f t="shared" si="0"/>
        <v>APTO</v>
      </c>
      <c r="H18" s="11" t="str">
        <f t="shared" si="1"/>
        <v>Ninguno</v>
      </c>
      <c r="I18" s="13"/>
      <c r="J18" s="28">
        <f t="shared" si="2"/>
        <v>8.8708333333333336</v>
      </c>
    </row>
    <row r="19" spans="1:10" ht="19.95" customHeight="1">
      <c r="A19" s="5">
        <v>15</v>
      </c>
      <c r="B19" s="6" t="s">
        <v>34</v>
      </c>
      <c r="C19" s="22">
        <f>'Resumen y Calificaciones'!M23</f>
        <v>9.4041666666666668</v>
      </c>
      <c r="D19" s="25" t="s">
        <v>158</v>
      </c>
      <c r="E19" s="25" t="s">
        <v>159</v>
      </c>
      <c r="F19" s="5">
        <v>86</v>
      </c>
      <c r="G19" s="10" t="str">
        <f t="shared" si="0"/>
        <v>APTO</v>
      </c>
      <c r="H19" s="5" t="str">
        <f t="shared" si="1"/>
        <v>Ninguno</v>
      </c>
      <c r="I19" s="7"/>
      <c r="J19" s="28">
        <f t="shared" si="2"/>
        <v>9.4041666666666668</v>
      </c>
    </row>
  </sheetData>
  <mergeCells count="2">
    <mergeCell ref="A1:J1"/>
    <mergeCell ref="A2:J2"/>
  </mergeCells>
  <conditionalFormatting sqref="J5:J19">
    <cfRule type="cellIs" dxfId="1" priority="1" stopIfTrue="1" operator="greaterThanOrEqual">
      <formula>5</formula>
    </cfRule>
    <cfRule type="cellIs" dxfId="0" priority="2" stopIfTrue="1" operator="lessThan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y Calificaciones</vt:lpstr>
      <vt:lpstr>1er Trimestre</vt:lpstr>
      <vt:lpstr>2º Trimestre</vt:lpstr>
      <vt:lpstr>Calculo RAs</vt:lpstr>
      <vt:lpstr>Estructura y Ponderaciones</vt:lpstr>
      <vt:lpstr>Seguimiento Dual y Extraord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Quesada Fernández</cp:lastModifiedBy>
  <dcterms:created xsi:type="dcterms:W3CDTF">2026-10-04T08:53:17Z</dcterms:created>
  <dcterms:modified xsi:type="dcterms:W3CDTF">2026-10-04T08:56:09Z</dcterms:modified>
</cp:coreProperties>
</file>