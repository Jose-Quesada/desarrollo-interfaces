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Criterios" sheetId="1" state="visible" r:id="rId1"/>
    <sheet xmlns:r="http://schemas.openxmlformats.org/officeDocument/2006/relationships" name="Registro Notas" sheetId="2" state="visible" r:id="rId2"/>
    <sheet xmlns:r="http://schemas.openxmlformats.org/officeDocument/2006/relationships" name="Calculo CEs" sheetId="3" state="visible" r:id="rId3"/>
    <sheet xmlns:r="http://schemas.openxmlformats.org/officeDocument/2006/relationships" name="Calculo RAs" sheetId="4" state="visible" r:id="rId4"/>
    <sheet xmlns:r="http://schemas.openxmlformats.org/officeDocument/2006/relationships" name="Panel de Control" sheetId="5" state="visible" r:id="rId5"/>
    <sheet xmlns:r="http://schemas.openxmlformats.org/officeDocument/2006/relationships" name="Seguimiento Dual y Extraord" sheetId="6" state="visible" r:id="rId6"/>
    <sheet xmlns:r="http://schemas.openxmlformats.org/officeDocument/2006/relationships" name="Guía de Funcionamiento"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Segoe UI"/>
      <b val="1"/>
      <color rgb="00FFFFFF"/>
      <sz val="14"/>
    </font>
    <font>
      <name val="Segoe UI"/>
      <i val="1"/>
      <color rgb="00E2E8F0"/>
      <sz val="10"/>
    </font>
    <font>
      <name val="Segoe UI"/>
      <b val="1"/>
      <color rgb="00FFFFFF"/>
      <sz val="9"/>
    </font>
    <font>
      <name val="Segoe UI"/>
      <b val="1"/>
      <sz val="9"/>
    </font>
    <font>
      <name val="Segoe UI"/>
      <sz val="9"/>
    </font>
    <font>
      <name val="Segoe UI"/>
      <b val="1"/>
      <color rgb="001E3A8A"/>
      <sz val="10"/>
    </font>
    <font>
      <name val="Segoe UI"/>
      <b val="1"/>
      <color rgb="000F172A"/>
      <sz val="9"/>
    </font>
    <font>
      <name val="Segoe UI"/>
      <b val="1"/>
      <color rgb="001E3A8A"/>
      <sz val="9"/>
    </font>
    <font>
      <name val="Segoe UI"/>
      <b val="1"/>
      <color rgb="0015803D"/>
      <sz val="9"/>
    </font>
    <font>
      <name val="Segoe UI"/>
      <b val="1"/>
      <color rgb="0015803D"/>
      <sz val="8"/>
    </font>
    <font>
      <name val="Segoe UI"/>
      <b val="1"/>
      <color rgb="000F172A"/>
      <sz val="10"/>
    </font>
    <font>
      <name val="Segoe UI"/>
      <b val="1"/>
      <color rgb="0064748B"/>
      <sz val="8"/>
    </font>
    <font>
      <name val="Segoe UI"/>
      <b val="1"/>
      <color rgb="000F172A"/>
      <sz val="16"/>
    </font>
    <font>
      <name val="Segoe UI"/>
      <b val="1"/>
      <color rgb="0015803D"/>
      <sz val="16"/>
    </font>
    <font>
      <name val="Segoe UI"/>
      <b val="1"/>
      <color rgb="00DC2626"/>
      <sz val="16"/>
    </font>
    <font>
      <name val="Segoe UI"/>
      <b val="1"/>
      <color rgb="001E3A8A"/>
      <sz val="16"/>
    </font>
    <font>
      <name val="Segoe UI"/>
      <b val="1"/>
      <color rgb="001E3A8A"/>
      <sz val="11"/>
    </font>
  </fonts>
  <fills count="19">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1D4ED8"/>
        <bgColor rgb="001D4ED8"/>
      </patternFill>
    </fill>
    <fill>
      <patternFill patternType="solid">
        <fgColor rgb="000F766E"/>
        <bgColor rgb="000F766E"/>
      </patternFill>
    </fill>
    <fill>
      <patternFill patternType="solid">
        <fgColor rgb="006B21A8"/>
        <bgColor rgb="006B21A8"/>
      </patternFill>
    </fill>
    <fill>
      <patternFill patternType="solid">
        <fgColor rgb="00F8FAFC"/>
        <bgColor rgb="00F8FAFC"/>
      </patternFill>
    </fill>
    <fill>
      <patternFill patternType="solid">
        <fgColor rgb="00FEF3C7"/>
        <bgColor rgb="00FEF3C7"/>
      </patternFill>
    </fill>
    <fill>
      <patternFill patternType="solid">
        <fgColor rgb="00DBEAFE"/>
        <bgColor rgb="00DBEAFE"/>
      </patternFill>
    </fill>
    <fill>
      <patternFill patternType="solid">
        <fgColor rgb="00CCFBF1"/>
        <bgColor rgb="00CCFBF1"/>
      </patternFill>
    </fill>
    <fill>
      <patternFill patternType="solid">
        <fgColor rgb="00DCFCE7"/>
        <bgColor rgb="00DCFCE7"/>
      </patternFill>
    </fill>
    <fill>
      <patternFill patternType="solid">
        <fgColor rgb="00FEF9C3"/>
        <bgColor rgb="00FEF9C3"/>
      </patternFill>
    </fill>
    <fill>
      <patternFill patternType="solid">
        <fgColor rgb="0015803D"/>
        <bgColor rgb="0015803D"/>
      </patternFill>
    </fill>
    <fill>
      <patternFill patternType="solid">
        <fgColor rgb="00C2410C"/>
        <bgColor rgb="00C2410C"/>
      </patternFill>
    </fill>
    <fill>
      <patternFill patternType="solid">
        <fgColor rgb="00FEE2E2"/>
        <bgColor rgb="00FEE2E2"/>
      </patternFill>
    </fill>
    <fill>
      <patternFill patternType="solid">
        <fgColor rgb="00F3E8FF"/>
        <bgColor rgb="00F3E8FF"/>
      </patternFill>
    </fill>
    <fill>
      <patternFill patternType="solid">
        <fgColor rgb="00EFF6FF"/>
        <bgColor rgb="00EFF6FF"/>
      </patternFill>
    </fill>
    <fill>
      <patternFill patternType="solid">
        <fgColor rgb="00F0FDFA"/>
        <bgColor rgb="00F0FDFA"/>
      </patternFill>
    </fill>
  </fills>
  <borders count="4">
    <border>
      <left/>
      <right/>
      <top/>
      <bottom/>
      <diagonal/>
    </border>
    <border>
      <left style="thin">
        <color rgb="00CBD5E1"/>
      </left>
      <right style="thin">
        <color rgb="00CBD5E1"/>
      </right>
      <top style="thin">
        <color rgb="00CBD5E1"/>
      </top>
      <bottom style="medium">
        <color rgb="0064748B"/>
      </bottom>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F172A"/>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7" borderId="2" applyAlignment="1" pivotButton="0" quotePrefix="0" xfId="0">
      <alignment horizontal="center" vertical="center" wrapText="1"/>
    </xf>
    <xf numFmtId="164" fontId="5" fillId="7" borderId="2" applyAlignment="1" pivotButton="0" quotePrefix="0" xfId="0">
      <alignment horizontal="center" vertical="center" wrapText="1"/>
    </xf>
    <xf numFmtId="0" fontId="5" fillId="7" borderId="2" applyAlignment="1" pivotButton="0" quotePrefix="0" xfId="0">
      <alignment horizontal="left" vertical="center"/>
    </xf>
    <xf numFmtId="0" fontId="5"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6" fillId="9" borderId="2" applyAlignment="1" pivotButton="0" quotePrefix="0" xfId="0">
      <alignment horizontal="center" vertical="center" wrapText="1"/>
    </xf>
    <xf numFmtId="0" fontId="6" fillId="10" borderId="2" applyAlignment="1" pivotButton="0" quotePrefix="0" xfId="0">
      <alignment horizontal="center" vertical="center" wrapText="1"/>
    </xf>
    <xf numFmtId="10" fontId="5" fillId="7" borderId="2" applyAlignment="1" pivotButton="0" quotePrefix="0" xfId="0">
      <alignment horizontal="center" vertical="center" wrapText="1"/>
    </xf>
    <xf numFmtId="0" fontId="4" fillId="0" borderId="2" applyAlignment="1" pivotButton="0" quotePrefix="0" xfId="0">
      <alignment horizontal="center" vertical="center" wrapText="1"/>
    </xf>
    <xf numFmtId="164" fontId="5" fillId="0" borderId="2" applyAlignment="1" pivotButton="0" quotePrefix="0" xfId="0">
      <alignment horizontal="center" vertical="center" wrapText="1"/>
    </xf>
    <xf numFmtId="0" fontId="5" fillId="0" borderId="2" applyAlignment="1" pivotButton="0" quotePrefix="0" xfId="0">
      <alignment horizontal="left" vertical="center"/>
    </xf>
    <xf numFmtId="0" fontId="5" fillId="0" borderId="2" applyAlignment="1" pivotButton="0" quotePrefix="0" xfId="0">
      <alignment horizontal="center" vertical="center" wrapText="1"/>
    </xf>
    <xf numFmtId="10" fontId="5" fillId="0" borderId="2" applyAlignment="1" pivotButton="0" quotePrefix="0" xfId="0">
      <alignment horizontal="center" vertical="center" wrapText="1"/>
    </xf>
    <xf numFmtId="0" fontId="7" fillId="8" borderId="3" applyAlignment="1" pivotButton="0" quotePrefix="0" xfId="0">
      <alignment horizontal="right" vertical="center"/>
    </xf>
    <xf numFmtId="0" fontId="4" fillId="8" borderId="3" applyAlignment="1" pivotButton="0" quotePrefix="0" xfId="0">
      <alignment horizontal="center" vertical="center" wrapText="1"/>
    </xf>
    <xf numFmtId="0" fontId="4" fillId="11" borderId="3" applyAlignment="1" pivotButton="0" quotePrefix="0" xfId="0">
      <alignment horizontal="center" vertical="center" wrapText="1"/>
    </xf>
    <xf numFmtId="0" fontId="7" fillId="12" borderId="3" applyAlignment="1" pivotButton="0" quotePrefix="0" xfId="0">
      <alignment horizontal="right" vertical="center"/>
    </xf>
    <xf numFmtId="10" fontId="8" fillId="12" borderId="3" applyAlignment="1" pivotButton="0" quotePrefix="0" xfId="0">
      <alignment horizontal="center" vertical="center" wrapText="1"/>
    </xf>
    <xf numFmtId="10" fontId="4" fillId="12" borderId="3" applyAlignment="1" pivotButton="0" quotePrefix="0" xfId="0">
      <alignment horizontal="center" vertical="center" wrapText="1"/>
    </xf>
    <xf numFmtId="0" fontId="7" fillId="11" borderId="3" applyAlignment="1" pivotButton="0" quotePrefix="0" xfId="0">
      <alignment horizontal="right" vertical="center"/>
    </xf>
    <xf numFmtId="10" fontId="9" fillId="11" borderId="3" applyAlignment="1" pivotButton="0" quotePrefix="0" xfId="0">
      <alignment horizontal="center" vertical="center" wrapText="1"/>
    </xf>
    <xf numFmtId="0" fontId="10" fillId="11" borderId="3" applyAlignment="1" pivotButton="0" quotePrefix="0" xfId="0">
      <alignment horizontal="center" vertical="center" wrapText="1"/>
    </xf>
    <xf numFmtId="0" fontId="3"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2" applyAlignment="1" pivotButton="0" quotePrefix="0" xfId="0">
      <alignment horizontal="left" vertical="center"/>
    </xf>
    <xf numFmtId="2" fontId="5" fillId="7" borderId="2" applyAlignment="1" pivotButton="0" quotePrefix="0" xfId="0">
      <alignment horizontal="center" vertical="center" wrapText="1"/>
    </xf>
    <xf numFmtId="2" fontId="4" fillId="9" borderId="2" applyAlignment="1" pivotButton="0" quotePrefix="0" xfId="0">
      <alignment horizontal="center" vertical="center" wrapText="1"/>
    </xf>
    <xf numFmtId="2" fontId="4" fillId="10" borderId="2" applyAlignment="1" pivotButton="0" quotePrefix="0" xfId="0">
      <alignment horizontal="center" vertical="center" wrapText="1"/>
    </xf>
    <xf numFmtId="0" fontId="4" fillId="0" borderId="2" applyAlignment="1" pivotButton="0" quotePrefix="0" xfId="0">
      <alignment horizontal="left" vertical="center"/>
    </xf>
    <xf numFmtId="2" fontId="5" fillId="0" borderId="2" applyAlignment="1" pivotButton="0" quotePrefix="0" xfId="0">
      <alignment horizontal="center" vertical="center" wrapText="1"/>
    </xf>
    <xf numFmtId="0" fontId="7" fillId="8" borderId="3" applyAlignment="1" pivotButton="0" quotePrefix="0" xfId="0">
      <alignment horizontal="center" vertical="center" wrapText="1"/>
    </xf>
    <xf numFmtId="0" fontId="0" fillId="0" borderId="3" pivotButton="0" quotePrefix="0" xfId="0"/>
    <xf numFmtId="2" fontId="4" fillId="8" borderId="3" applyAlignment="1" pivotButton="0" quotePrefix="0" xfId="0">
      <alignment horizontal="center" vertical="center" wrapText="1"/>
    </xf>
    <xf numFmtId="0" fontId="3" fillId="13" borderId="0" applyAlignment="1" pivotButton="0" quotePrefix="0" xfId="0">
      <alignment horizontal="center" vertical="center" wrapText="1"/>
    </xf>
    <xf numFmtId="0" fontId="3" fillId="14"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2" borderId="1" applyAlignment="1" pivotButton="0" quotePrefix="0" xfId="0">
      <alignment horizontal="left" vertical="center"/>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2" fontId="4" fillId="8" borderId="2" applyAlignment="1" pivotButton="0" quotePrefix="0" xfId="0">
      <alignment horizontal="center" vertical="center" wrapText="1"/>
    </xf>
    <xf numFmtId="0" fontId="4" fillId="11" borderId="2" applyAlignment="1" pivotButton="0" quotePrefix="0" xfId="0">
      <alignment horizontal="center" vertical="center" wrapText="1"/>
    </xf>
    <xf numFmtId="2" fontId="11" fillId="8" borderId="2" applyAlignment="1" pivotButton="0" quotePrefix="0" xfId="0">
      <alignment horizontal="center" vertical="center" wrapText="1"/>
    </xf>
    <xf numFmtId="0" fontId="12" fillId="0" borderId="0" applyAlignment="1" pivotButton="0" quotePrefix="0" xfId="0">
      <alignment horizontal="center" vertical="center" wrapText="1"/>
    </xf>
    <xf numFmtId="0" fontId="13" fillId="9" borderId="0" applyAlignment="1" pivotButton="0" quotePrefix="0" xfId="0">
      <alignment horizontal="center" vertical="center" wrapText="1"/>
    </xf>
    <xf numFmtId="0" fontId="14" fillId="11" borderId="0" applyAlignment="1" pivotButton="0" quotePrefix="0" xfId="0">
      <alignment horizontal="center" vertical="center" wrapText="1"/>
    </xf>
    <xf numFmtId="0" fontId="15" fillId="15" borderId="0" applyAlignment="1" pivotButton="0" quotePrefix="0" xfId="0">
      <alignment horizontal="center" vertical="center" wrapText="1"/>
    </xf>
    <xf numFmtId="2" fontId="13" fillId="8" borderId="0" applyAlignment="1" pivotButton="0" quotePrefix="0" xfId="0">
      <alignment horizontal="center" vertical="center" wrapText="1"/>
    </xf>
    <xf numFmtId="164" fontId="16" fillId="16" borderId="0" applyAlignment="1" pivotButton="0" quotePrefix="0" xfId="0">
      <alignment horizontal="center" vertical="center" wrapText="1"/>
    </xf>
    <xf numFmtId="2" fontId="4" fillId="17" borderId="2" applyAlignment="1" pivotButton="0" quotePrefix="0" xfId="0">
      <alignment horizontal="center" vertical="center" wrapText="1"/>
    </xf>
    <xf numFmtId="2" fontId="4" fillId="18" borderId="2" applyAlignment="1" pivotButton="0" quotePrefix="0" xfId="0">
      <alignment horizontal="center" vertical="center" wrapText="1"/>
    </xf>
    <xf numFmtId="0" fontId="0" fillId="8" borderId="3" pivotButton="0" quotePrefix="0" xfId="0"/>
    <xf numFmtId="2" fontId="4" fillId="11" borderId="2" applyAlignment="1" pivotButton="0" quotePrefix="0" xfId="0">
      <alignment horizontal="center" vertical="center" wrapText="1"/>
    </xf>
    <xf numFmtId="0" fontId="17" fillId="9" borderId="1" applyAlignment="1" pivotButton="0" quotePrefix="0" xfId="0">
      <alignment horizontal="left" vertical="center"/>
    </xf>
    <xf numFmtId="0" fontId="5" fillId="7" borderId="2" applyAlignment="1" pivotButton="0" quotePrefix="0" xfId="0">
      <alignment horizontal="left" vertical="top" wrapText="1"/>
    </xf>
  </cellXfs>
  <cellStyles count="1">
    <cellStyle name="Normal" xfId="0" builtinId="0" hidden="0"/>
  </cellStyles>
  <dxfs count="3">
    <dxf>
      <font>
        <b val="1"/>
        <color rgb="0015803D"/>
      </font>
      <fill>
        <patternFill patternType="solid">
          <fgColor rgb="00DCFCE7"/>
          <bgColor rgb="00DCFCE7"/>
        </patternFill>
      </fill>
    </dxf>
    <dxf>
      <font>
        <b val="1"/>
        <color rgb="00DC2626"/>
      </font>
      <fill>
        <patternFill patternType="solid">
          <fgColor rgb="00FEE2E2"/>
          <bgColor rgb="00FEE2E2"/>
        </patternFill>
      </fill>
    </dxf>
    <dxf>
      <font>
        <b val="1"/>
        <color rgb="001D4ED8"/>
      </font>
      <fill>
        <patternFill patternType="solid">
          <fgColor rgb="00DBEAFE"/>
          <bgColor rgb="00DBEAF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
  <sheetViews>
    <sheetView showGridLines="1" workbookViewId="0">
      <selection activeCell="A1" sqref="A1"/>
    </sheetView>
  </sheetViews>
  <sheetFormatPr baseColWidth="8" defaultRowHeight="15"/>
  <cols>
    <col width="8" customWidth="1" min="1" max="1"/>
    <col width="9" customWidth="1" min="2" max="2"/>
    <col width="10" customWidth="1" min="3" max="3"/>
    <col width="44" customWidth="1" min="4" max="4"/>
    <col width="14" customWidth="1" min="5" max="5"/>
    <col width="8" customWidth="1" min="6" max="6"/>
    <col width="14"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s>
  <sheetData>
    <row r="1" ht="36" customHeight="1">
      <c r="A1" s="1" t="inlineStr">
        <is>
          <t>MATRIZ DE SELECCIÓN DE CRITERIOS DE EVALUACIÓN POR TAREA — DESARROLLO DE INTERFACES (2º DAM)</t>
        </is>
      </c>
    </row>
    <row r="2" ht="20" customHeight="1">
      <c r="A2" s="2" t="inlineStr">
        <is>
          <t>Marca con una 'X' en la casilla correspondiente para activar los criterios evaluados en cada tarea. Los porcentajes de las líneas 47 y 48 se calculan automáticamente.</t>
        </is>
      </c>
    </row>
    <row r="4">
      <c r="A4" s="3" t="inlineStr">
        <is>
          <t>CRITERIOS OFICIALES DE EVALUACIÓN (DECRETO 104/2024 &amp; RD 405/2023)</t>
        </is>
      </c>
      <c r="H4" s="4" t="inlineStr">
        <is>
          <t>1er TRIMESTRE (T1) — TAREAS Y PRUEBAS</t>
        </is>
      </c>
      <c r="O4" s="5" t="inlineStr">
        <is>
          <t>2º TRIMESTRE (T2) — TAREAS, PRUEBAS Y PROYECTO</t>
        </is>
      </c>
      <c r="W4" s="6" t="inlineStr">
        <is>
          <t>Pond. CE
Global</t>
        </is>
      </c>
    </row>
    <row r="5" ht="36" customHeight="1">
      <c r="A5" s="7" t="inlineStr">
        <is>
          <t>RA</t>
        </is>
      </c>
      <c r="B5" s="7" t="inlineStr">
        <is>
          <t>Peso RA</t>
        </is>
      </c>
      <c r="C5" s="7" t="inlineStr">
        <is>
          <t>Código CE</t>
        </is>
      </c>
      <c r="D5" s="7" t="inlineStr">
        <is>
          <t>Descripción Oficial del Criterio de Evaluación</t>
        </is>
      </c>
      <c r="E5" s="7" t="inlineStr">
        <is>
          <t>UDs</t>
        </is>
      </c>
      <c r="F5" s="7" t="inlineStr">
        <is>
          <t>Total
Tareas</t>
        </is>
      </c>
      <c r="G5" s="7" t="inlineStr">
        <is>
          <t>Estado Cobertura</t>
        </is>
      </c>
      <c r="H5" s="8" t="inlineStr">
        <is>
          <t>T01
Figma &amp; UX</t>
        </is>
      </c>
      <c r="I5" s="8" t="inlineStr">
        <is>
          <t>T02
NUI &amp; Voz</t>
        </is>
      </c>
      <c r="J5" s="8" t="inlineStr">
        <is>
          <t>T03
Tailwind &amp; Grid</t>
        </is>
      </c>
      <c r="K5" s="8" t="inlineStr">
        <is>
          <t>T04
Accesibilidad</t>
        </is>
      </c>
      <c r="L5" s="8" t="inlineStr">
        <is>
          <t>T05
Angular Signals</t>
        </is>
      </c>
      <c r="M5" s="8" t="inlineStr">
        <is>
          <t>T06
Examen Práctico T1</t>
        </is>
      </c>
      <c r="N5" s="8" t="inlineStr">
        <is>
          <t>T07
Git &amp; Actitud T1</t>
        </is>
      </c>
      <c r="O5" s="9" t="inlineStr">
        <is>
          <t>T08
Forms &amp; A11y</t>
        </is>
      </c>
      <c r="P5" s="9" t="inlineStr">
        <is>
          <t>T09
Storybook &amp; Design</t>
        </is>
      </c>
      <c r="Q5" s="9" t="inlineStr">
        <is>
          <t>T10
Informes &amp; Dashboards</t>
        </is>
      </c>
      <c r="R5" s="9" t="inlineStr">
        <is>
          <t>T11
Pruebas Vitest</t>
        </is>
      </c>
      <c r="S5" s="9" t="inlineStr">
        <is>
          <t>T12
Electron Desktop</t>
        </is>
      </c>
      <c r="T5" s="9" t="inlineStr">
        <is>
          <t>T13
Proyecto GesFlow</t>
        </is>
      </c>
      <c r="U5" s="9" t="inlineStr">
        <is>
          <t>T14
Examen Práctico T2</t>
        </is>
      </c>
      <c r="V5" s="9" t="inlineStr">
        <is>
          <t>T15
Git &amp; Despliegue T2</t>
        </is>
      </c>
    </row>
    <row r="6" ht="24" customHeight="1">
      <c r="A6" s="10" t="inlineStr">
        <is>
          <t>RA1</t>
        </is>
      </c>
      <c r="B6" s="11" t="n">
        <v>0.22</v>
      </c>
      <c r="C6" s="10" t="inlineStr">
        <is>
          <t>CE1.a</t>
        </is>
      </c>
      <c r="D6" s="12" t="inlineStr">
        <is>
          <t>Se han identificado los elementos que componen la interfaz gráfica.</t>
        </is>
      </c>
      <c r="E6" s="13" t="inlineStr">
        <is>
          <t>UD00, UD01</t>
        </is>
      </c>
      <c r="F6" s="14">
        <f>COUNTIF(H6:V6, "X")</f>
        <v/>
      </c>
      <c r="G6" s="10">
        <f>IF(F6&gt;0, "EVALUADO", "SIN EVALUAR")</f>
        <v/>
      </c>
      <c r="H6" s="15" t="inlineStr">
        <is>
          <t>X</t>
        </is>
      </c>
      <c r="I6" s="13" t="inlineStr"/>
      <c r="J6" s="13" t="inlineStr"/>
      <c r="K6" s="13" t="inlineStr"/>
      <c r="L6" s="13" t="inlineStr"/>
      <c r="M6" s="15" t="inlineStr">
        <is>
          <t>X</t>
        </is>
      </c>
      <c r="N6" s="13" t="inlineStr"/>
      <c r="O6" s="13" t="inlineStr"/>
      <c r="P6" s="13" t="inlineStr"/>
      <c r="Q6" s="13" t="inlineStr"/>
      <c r="R6" s="13" t="inlineStr"/>
      <c r="S6" s="13" t="inlineStr"/>
      <c r="T6" s="16" t="inlineStr">
        <is>
          <t>X</t>
        </is>
      </c>
      <c r="U6" s="13" t="inlineStr"/>
      <c r="V6" s="13" t="inlineStr"/>
      <c r="W6" s="17">
        <f>B6 / COUNTIF(A$6:A$45, A6)</f>
        <v/>
      </c>
    </row>
    <row r="7" ht="24" customHeight="1">
      <c r="A7" s="18" t="inlineStr">
        <is>
          <t>RA1</t>
        </is>
      </c>
      <c r="B7" s="19" t="n">
        <v>0.22</v>
      </c>
      <c r="C7" s="18" t="inlineStr">
        <is>
          <t>CE1.b</t>
        </is>
      </c>
      <c r="D7" s="20" t="inlineStr">
        <is>
          <t>Se han analizado los principios de usabilidad y diseño centrado en el usuario (UX).</t>
        </is>
      </c>
      <c r="E7" s="21" t="inlineStr">
        <is>
          <t>UD01</t>
        </is>
      </c>
      <c r="F7" s="14">
        <f>COUNTIF(H7:V7, "X")</f>
        <v/>
      </c>
      <c r="G7" s="18">
        <f>IF(F7&gt;0, "EVALUADO", "SIN EVALUAR")</f>
        <v/>
      </c>
      <c r="H7" s="15" t="inlineStr">
        <is>
          <t>X</t>
        </is>
      </c>
      <c r="I7" s="21" t="inlineStr"/>
      <c r="J7" s="21" t="inlineStr"/>
      <c r="K7" s="21" t="inlineStr"/>
      <c r="L7" s="21" t="inlineStr"/>
      <c r="M7" s="15" t="inlineStr">
        <is>
          <t>X</t>
        </is>
      </c>
      <c r="N7" s="21" t="inlineStr"/>
      <c r="O7" s="21" t="inlineStr"/>
      <c r="P7" s="21" t="inlineStr"/>
      <c r="Q7" s="21" t="inlineStr"/>
      <c r="R7" s="21" t="inlineStr"/>
      <c r="S7" s="21" t="inlineStr"/>
      <c r="T7" s="21" t="inlineStr"/>
      <c r="U7" s="21" t="inlineStr"/>
      <c r="V7" s="21" t="inlineStr"/>
      <c r="W7" s="22">
        <f>B7 / COUNTIF(A$6:A$45, A7)</f>
        <v/>
      </c>
    </row>
    <row r="8" ht="24" customHeight="1">
      <c r="A8" s="10" t="inlineStr">
        <is>
          <t>RA1</t>
        </is>
      </c>
      <c r="B8" s="11" t="n">
        <v>0.22</v>
      </c>
      <c r="C8" s="10" t="inlineStr">
        <is>
          <t>CE1.c</t>
        </is>
      </c>
      <c r="D8" s="12" t="inlineStr">
        <is>
          <t>Se han elaborado bocetos, wireframes y prototipos interactivos en alta fidelidad (Figma).</t>
        </is>
      </c>
      <c r="E8" s="13" t="inlineStr">
        <is>
          <t>UD04</t>
        </is>
      </c>
      <c r="F8" s="14">
        <f>COUNTIF(H8:V8, "X")</f>
        <v/>
      </c>
      <c r="G8" s="10">
        <f>IF(F8&gt;0, "EVALUADO", "SIN EVALUAR")</f>
        <v/>
      </c>
      <c r="H8" s="15" t="inlineStr">
        <is>
          <t>X</t>
        </is>
      </c>
      <c r="I8" s="13" t="inlineStr"/>
      <c r="J8" s="13" t="inlineStr"/>
      <c r="K8" s="13" t="inlineStr"/>
      <c r="L8" s="13" t="inlineStr"/>
      <c r="M8" s="15" t="inlineStr">
        <is>
          <t>X</t>
        </is>
      </c>
      <c r="N8" s="13" t="inlineStr"/>
      <c r="O8" s="13" t="inlineStr"/>
      <c r="P8" s="16" t="inlineStr">
        <is>
          <t>X</t>
        </is>
      </c>
      <c r="Q8" s="13" t="inlineStr"/>
      <c r="R8" s="13" t="inlineStr"/>
      <c r="S8" s="13" t="inlineStr"/>
      <c r="T8" s="16" t="inlineStr">
        <is>
          <t>X</t>
        </is>
      </c>
      <c r="U8" s="13" t="inlineStr"/>
      <c r="V8" s="13" t="inlineStr"/>
      <c r="W8" s="17">
        <f>B8 / COUNTIF(A$6:A$45, A8)</f>
        <v/>
      </c>
    </row>
    <row r="9" ht="24" customHeight="1">
      <c r="A9" s="18" t="inlineStr">
        <is>
          <t>RA1</t>
        </is>
      </c>
      <c r="B9" s="19" t="n">
        <v>0.22</v>
      </c>
      <c r="C9" s="18" t="inlineStr">
        <is>
          <t>CE1.d</t>
        </is>
      </c>
      <c r="D9" s="20" t="inlineStr">
        <is>
          <t>Se han aplicado guías de estilo, tipografías, colores, espaciados y sistemas de diseño.</t>
        </is>
      </c>
      <c r="E9" s="21" t="inlineStr">
        <is>
          <t>UD07, UD13</t>
        </is>
      </c>
      <c r="F9" s="14">
        <f>COUNTIF(H9:V9, "X")</f>
        <v/>
      </c>
      <c r="G9" s="18">
        <f>IF(F9&gt;0, "EVALUADO", "SIN EVALUAR")</f>
        <v/>
      </c>
      <c r="H9" s="15" t="inlineStr">
        <is>
          <t>X</t>
        </is>
      </c>
      <c r="I9" s="21" t="inlineStr"/>
      <c r="J9" s="15" t="inlineStr">
        <is>
          <t>X</t>
        </is>
      </c>
      <c r="K9" s="21" t="inlineStr"/>
      <c r="L9" s="21" t="inlineStr"/>
      <c r="M9" s="21" t="inlineStr"/>
      <c r="N9" s="15" t="inlineStr">
        <is>
          <t>X</t>
        </is>
      </c>
      <c r="O9" s="21" t="inlineStr"/>
      <c r="P9" s="16" t="inlineStr">
        <is>
          <t>X</t>
        </is>
      </c>
      <c r="Q9" s="21" t="inlineStr"/>
      <c r="R9" s="21" t="inlineStr"/>
      <c r="S9" s="21" t="inlineStr"/>
      <c r="T9" s="16" t="inlineStr">
        <is>
          <t>X</t>
        </is>
      </c>
      <c r="U9" s="21" t="inlineStr"/>
      <c r="V9" s="21" t="inlineStr"/>
      <c r="W9" s="22">
        <f>B9 / COUNTIF(A$6:A$45, A9)</f>
        <v/>
      </c>
    </row>
    <row r="10" ht="24" customHeight="1">
      <c r="A10" s="10" t="inlineStr">
        <is>
          <t>RA1</t>
        </is>
      </c>
      <c r="B10" s="11" t="n">
        <v>0.22</v>
      </c>
      <c r="C10" s="10" t="inlineStr">
        <is>
          <t>CE1.e</t>
        </is>
      </c>
      <c r="D10" s="12" t="inlineStr">
        <is>
          <t>Se han diseñado layouts modernos y adaptables (CSS Grid, Flexbox, Tailwind CSS v4).</t>
        </is>
      </c>
      <c r="E10" s="13" t="inlineStr">
        <is>
          <t>UD05, UD06, UD08</t>
        </is>
      </c>
      <c r="F10" s="14">
        <f>COUNTIF(H10:V10, "X")</f>
        <v/>
      </c>
      <c r="G10" s="10">
        <f>IF(F10&gt;0, "EVALUADO", "SIN EVALUAR")</f>
        <v/>
      </c>
      <c r="H10" s="13" t="inlineStr"/>
      <c r="I10" s="13" t="inlineStr"/>
      <c r="J10" s="15" t="inlineStr">
        <is>
          <t>X</t>
        </is>
      </c>
      <c r="K10" s="13" t="inlineStr"/>
      <c r="L10" s="13" t="inlineStr"/>
      <c r="M10" s="15" t="inlineStr">
        <is>
          <t>X</t>
        </is>
      </c>
      <c r="N10" s="13" t="inlineStr"/>
      <c r="O10" s="13" t="inlineStr"/>
      <c r="P10" s="13" t="inlineStr"/>
      <c r="Q10" s="13" t="inlineStr"/>
      <c r="R10" s="13" t="inlineStr"/>
      <c r="S10" s="13" t="inlineStr"/>
      <c r="T10" s="16" t="inlineStr">
        <is>
          <t>X</t>
        </is>
      </c>
      <c r="U10" s="13" t="inlineStr"/>
      <c r="V10" s="13" t="inlineStr"/>
      <c r="W10" s="17">
        <f>B10 / COUNTIF(A$6:A$45, A10)</f>
        <v/>
      </c>
    </row>
    <row r="11" ht="24" customHeight="1">
      <c r="A11" s="18" t="inlineStr">
        <is>
          <t>RA1</t>
        </is>
      </c>
      <c r="B11" s="19" t="n">
        <v>0.22</v>
      </c>
      <c r="C11" s="18" t="inlineStr">
        <is>
          <t>CE1.f</t>
        </is>
      </c>
      <c r="D11" s="20" t="inlineStr">
        <is>
          <t>Se ha verificado la correcta interacción y flujo de navegación entre pantallas.</t>
        </is>
      </c>
      <c r="E11" s="21" t="inlineStr">
        <is>
          <t>UD04, UD15</t>
        </is>
      </c>
      <c r="F11" s="14">
        <f>COUNTIF(H11:V11, "X")</f>
        <v/>
      </c>
      <c r="G11" s="18">
        <f>IF(F11&gt;0, "EVALUADO", "SIN EVALUAR")</f>
        <v/>
      </c>
      <c r="H11" s="15" t="inlineStr">
        <is>
          <t>X</t>
        </is>
      </c>
      <c r="I11" s="21" t="inlineStr"/>
      <c r="J11" s="21" t="inlineStr"/>
      <c r="K11" s="21" t="inlineStr"/>
      <c r="L11" s="21" t="inlineStr"/>
      <c r="M11" s="15" t="inlineStr">
        <is>
          <t>X</t>
        </is>
      </c>
      <c r="N11" s="15" t="inlineStr">
        <is>
          <t>X</t>
        </is>
      </c>
      <c r="O11" s="21" t="inlineStr"/>
      <c r="P11" s="16" t="inlineStr">
        <is>
          <t>X</t>
        </is>
      </c>
      <c r="Q11" s="21" t="inlineStr"/>
      <c r="R11" s="21" t="inlineStr"/>
      <c r="S11" s="21" t="inlineStr"/>
      <c r="T11" s="16" t="inlineStr">
        <is>
          <t>X</t>
        </is>
      </c>
      <c r="U11" s="21" t="inlineStr"/>
      <c r="V11" s="21" t="inlineStr"/>
      <c r="W11" s="22">
        <f>B11 / COUNTIF(A$6:A$45, A11)</f>
        <v/>
      </c>
    </row>
    <row r="12" ht="24" customHeight="1">
      <c r="A12" s="10" t="inlineStr">
        <is>
          <t>RA2</t>
        </is>
      </c>
      <c r="B12" s="11" t="n">
        <v>0.16</v>
      </c>
      <c r="C12" s="10" t="inlineStr">
        <is>
          <t>CE2.a</t>
        </is>
      </c>
      <c r="D12" s="12" t="inlineStr">
        <is>
          <t>Se han identificado conceptos, arquitecturas y hardware de interfaces naturales (NUI).</t>
        </is>
      </c>
      <c r="E12" s="13" t="inlineStr">
        <is>
          <t>UD03</t>
        </is>
      </c>
      <c r="F12" s="14">
        <f>COUNTIF(H12:V12, "X")</f>
        <v/>
      </c>
      <c r="G12" s="10">
        <f>IF(F12&gt;0, "EVALUADO", "SIN EVALUAR")</f>
        <v/>
      </c>
      <c r="H12" s="13" t="inlineStr"/>
      <c r="I12" s="15" t="inlineStr">
        <is>
          <t>X</t>
        </is>
      </c>
      <c r="J12" s="13" t="inlineStr"/>
      <c r="K12" s="13" t="inlineStr"/>
      <c r="L12" s="13" t="inlineStr"/>
      <c r="M12" s="15" t="inlineStr">
        <is>
          <t>X</t>
        </is>
      </c>
      <c r="N12" s="13" t="inlineStr"/>
      <c r="O12" s="13" t="inlineStr"/>
      <c r="P12" s="13" t="inlineStr"/>
      <c r="Q12" s="13" t="inlineStr"/>
      <c r="R12" s="13" t="inlineStr"/>
      <c r="S12" s="13" t="inlineStr"/>
      <c r="T12" s="13" t="inlineStr"/>
      <c r="U12" s="13" t="inlineStr"/>
      <c r="V12" s="13" t="inlineStr"/>
      <c r="W12" s="17">
        <f>B12 / COUNTIF(A$6:A$45, A12)</f>
        <v/>
      </c>
    </row>
    <row r="13" ht="24" customHeight="1">
      <c r="A13" s="18" t="inlineStr">
        <is>
          <t>RA2</t>
        </is>
      </c>
      <c r="B13" s="19" t="n">
        <v>0.16</v>
      </c>
      <c r="C13" s="18" t="inlineStr">
        <is>
          <t>CE2.b</t>
        </is>
      </c>
      <c r="D13" s="20" t="inlineStr">
        <is>
          <t>Se han integrado librerías y APIs de reconocimiento y síntesis de voz (Web Speech API).</t>
        </is>
      </c>
      <c r="E13" s="21" t="inlineStr">
        <is>
          <t>UD03</t>
        </is>
      </c>
      <c r="F13" s="14">
        <f>COUNTIF(H13:V13, "X")</f>
        <v/>
      </c>
      <c r="G13" s="18">
        <f>IF(F13&gt;0, "EVALUADO", "SIN EVALUAR")</f>
        <v/>
      </c>
      <c r="H13" s="21" t="inlineStr"/>
      <c r="I13" s="15" t="inlineStr">
        <is>
          <t>X</t>
        </is>
      </c>
      <c r="J13" s="21" t="inlineStr"/>
      <c r="K13" s="21" t="inlineStr"/>
      <c r="L13" s="21" t="inlineStr"/>
      <c r="M13" s="15" t="inlineStr">
        <is>
          <t>X</t>
        </is>
      </c>
      <c r="N13" s="21" t="inlineStr"/>
      <c r="O13" s="21" t="inlineStr"/>
      <c r="P13" s="21" t="inlineStr"/>
      <c r="Q13" s="21" t="inlineStr"/>
      <c r="R13" s="21" t="inlineStr"/>
      <c r="S13" s="21" t="inlineStr"/>
      <c r="T13" s="16" t="inlineStr">
        <is>
          <t>X</t>
        </is>
      </c>
      <c r="U13" s="21" t="inlineStr"/>
      <c r="V13" s="21" t="inlineStr"/>
      <c r="W13" s="22">
        <f>B13 / COUNTIF(A$6:A$45, A13)</f>
        <v/>
      </c>
    </row>
    <row r="14" ht="24" customHeight="1">
      <c r="A14" s="10" t="inlineStr">
        <is>
          <t>RA2</t>
        </is>
      </c>
      <c r="B14" s="11" t="n">
        <v>0.16</v>
      </c>
      <c r="C14" s="10" t="inlineStr">
        <is>
          <t>CE2.c</t>
        </is>
      </c>
      <c r="D14" s="12" t="inlineStr">
        <is>
          <t>Se han implementado controles basados en visión artificial y tracking de gestos/manos.</t>
        </is>
      </c>
      <c r="E14" s="13" t="inlineStr">
        <is>
          <t>UD03</t>
        </is>
      </c>
      <c r="F14" s="14">
        <f>COUNTIF(H14:V14, "X")</f>
        <v/>
      </c>
      <c r="G14" s="10">
        <f>IF(F14&gt;0, "EVALUADO", "SIN EVALUAR")</f>
        <v/>
      </c>
      <c r="H14" s="13" t="inlineStr"/>
      <c r="I14" s="15" t="inlineStr">
        <is>
          <t>X</t>
        </is>
      </c>
      <c r="J14" s="13" t="inlineStr"/>
      <c r="K14" s="13" t="inlineStr"/>
      <c r="L14" s="13" t="inlineStr"/>
      <c r="M14" s="13" t="inlineStr"/>
      <c r="N14" s="13" t="inlineStr"/>
      <c r="O14" s="13" t="inlineStr"/>
      <c r="P14" s="13" t="inlineStr"/>
      <c r="Q14" s="13" t="inlineStr"/>
      <c r="R14" s="13" t="inlineStr"/>
      <c r="S14" s="13" t="inlineStr"/>
      <c r="T14" s="13" t="inlineStr"/>
      <c r="U14" s="13" t="inlineStr"/>
      <c r="V14" s="13" t="inlineStr"/>
      <c r="W14" s="17">
        <f>B14 / COUNTIF(A$6:A$45, A14)</f>
        <v/>
      </c>
    </row>
    <row r="15" ht="24" customHeight="1">
      <c r="A15" s="18" t="inlineStr">
        <is>
          <t>RA2</t>
        </is>
      </c>
      <c r="B15" s="19" t="n">
        <v>0.16</v>
      </c>
      <c r="C15" s="18" t="inlineStr">
        <is>
          <t>CE2.d</t>
        </is>
      </c>
      <c r="D15" s="20" t="inlineStr">
        <is>
          <t>Se han explorado patrones de realidad aumentada y experiencias inmersivas (WebXR/Three.js).</t>
        </is>
      </c>
      <c r="E15" s="21" t="inlineStr">
        <is>
          <t>UD03</t>
        </is>
      </c>
      <c r="F15" s="14">
        <f>COUNTIF(H15:V15, "X")</f>
        <v/>
      </c>
      <c r="G15" s="18">
        <f>IF(F15&gt;0, "EVALUADO", "SIN EVALUAR")</f>
        <v/>
      </c>
      <c r="H15" s="21" t="inlineStr"/>
      <c r="I15" s="15" t="inlineStr">
        <is>
          <t>X</t>
        </is>
      </c>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2">
        <f>B15 / COUNTIF(A$6:A$45, A15)</f>
        <v/>
      </c>
    </row>
    <row r="16" ht="24" customHeight="1">
      <c r="A16" s="10" t="inlineStr">
        <is>
          <t>RA2</t>
        </is>
      </c>
      <c r="B16" s="11" t="n">
        <v>0.16</v>
      </c>
      <c r="C16" s="10" t="inlineStr">
        <is>
          <t>CE2.e</t>
        </is>
      </c>
      <c r="D16" s="12" t="inlineStr">
        <is>
          <t>Se han evaluado ventajas y barreras de accesibilidad de interfaces conversacionales y gestuales.</t>
        </is>
      </c>
      <c r="E16" s="13" t="inlineStr">
        <is>
          <t>UD03</t>
        </is>
      </c>
      <c r="F16" s="14">
        <f>COUNTIF(H16:V16, "X")</f>
        <v/>
      </c>
      <c r="G16" s="10">
        <f>IF(F16&gt;0, "EVALUADO", "SIN EVALUAR")</f>
        <v/>
      </c>
      <c r="H16" s="13" t="inlineStr"/>
      <c r="I16" s="15" t="inlineStr">
        <is>
          <t>X</t>
        </is>
      </c>
      <c r="J16" s="13" t="inlineStr"/>
      <c r="K16" s="13" t="inlineStr"/>
      <c r="L16" s="13" t="inlineStr"/>
      <c r="M16" s="15" t="inlineStr">
        <is>
          <t>X</t>
        </is>
      </c>
      <c r="N16" s="13" t="inlineStr"/>
      <c r="O16" s="13" t="inlineStr"/>
      <c r="P16" s="13" t="inlineStr"/>
      <c r="Q16" s="13" t="inlineStr"/>
      <c r="R16" s="13" t="inlineStr"/>
      <c r="S16" s="13" t="inlineStr"/>
      <c r="T16" s="13" t="inlineStr"/>
      <c r="U16" s="13" t="inlineStr"/>
      <c r="V16" s="13" t="inlineStr"/>
      <c r="W16" s="17">
        <f>B16 / COUNTIF(A$6:A$45, A16)</f>
        <v/>
      </c>
    </row>
    <row r="17" ht="24" customHeight="1">
      <c r="A17" s="18" t="inlineStr">
        <is>
          <t>RA3</t>
        </is>
      </c>
      <c r="B17" s="19" t="n">
        <v>0.2</v>
      </c>
      <c r="C17" s="18" t="inlineStr">
        <is>
          <t>CE3.a</t>
        </is>
      </c>
      <c r="D17" s="20" t="inlineStr">
        <is>
          <t>Se ha seleccionado el framework y entorno de desarrollo (Angular 19+ Standalone).</t>
        </is>
      </c>
      <c r="E17" s="21" t="inlineStr">
        <is>
          <t>UD09, UD10</t>
        </is>
      </c>
      <c r="F17" s="14">
        <f>COUNTIF(H17:V17, "X")</f>
        <v/>
      </c>
      <c r="G17" s="18">
        <f>IF(F17&gt;0, "EVALUADO", "SIN EVALUAR")</f>
        <v/>
      </c>
      <c r="H17" s="21" t="inlineStr"/>
      <c r="I17" s="21" t="inlineStr"/>
      <c r="J17" s="21" t="inlineStr"/>
      <c r="K17" s="21" t="inlineStr"/>
      <c r="L17" s="15" t="inlineStr">
        <is>
          <t>X</t>
        </is>
      </c>
      <c r="M17" s="15" t="inlineStr">
        <is>
          <t>X</t>
        </is>
      </c>
      <c r="N17" s="21" t="inlineStr"/>
      <c r="O17" s="21" t="inlineStr"/>
      <c r="P17" s="21" t="inlineStr"/>
      <c r="Q17" s="21" t="inlineStr"/>
      <c r="R17" s="21" t="inlineStr"/>
      <c r="S17" s="21" t="inlineStr"/>
      <c r="T17" s="16" t="inlineStr">
        <is>
          <t>X</t>
        </is>
      </c>
      <c r="U17" s="21" t="inlineStr"/>
      <c r="V17" s="21" t="inlineStr"/>
      <c r="W17" s="22">
        <f>B17 / COUNTIF(A$6:A$45, A17)</f>
        <v/>
      </c>
    </row>
    <row r="18" ht="24" customHeight="1">
      <c r="A18" s="10" t="inlineStr">
        <is>
          <t>RA3</t>
        </is>
      </c>
      <c r="B18" s="11" t="n">
        <v>0.2</v>
      </c>
      <c r="C18" s="10" t="inlineStr">
        <is>
          <t>CE3.b</t>
        </is>
      </c>
      <c r="D18" s="12" t="inlineStr">
        <is>
          <t>Se han diseñado componentes reutilizables aplicando atomic design.</t>
        </is>
      </c>
      <c r="E18" s="13" t="inlineStr">
        <is>
          <t>UD11, UD13</t>
        </is>
      </c>
      <c r="F18" s="14">
        <f>COUNTIF(H18:V18, "X")</f>
        <v/>
      </c>
      <c r="G18" s="10">
        <f>IF(F18&gt;0, "EVALUADO", "SIN EVALUAR")</f>
        <v/>
      </c>
      <c r="H18" s="13" t="inlineStr"/>
      <c r="I18" s="13" t="inlineStr"/>
      <c r="J18" s="13" t="inlineStr"/>
      <c r="K18" s="13" t="inlineStr"/>
      <c r="L18" s="15" t="inlineStr">
        <is>
          <t>X</t>
        </is>
      </c>
      <c r="M18" s="15" t="inlineStr">
        <is>
          <t>X</t>
        </is>
      </c>
      <c r="N18" s="15" t="inlineStr">
        <is>
          <t>X</t>
        </is>
      </c>
      <c r="O18" s="13" t="inlineStr"/>
      <c r="P18" s="16" t="inlineStr">
        <is>
          <t>X</t>
        </is>
      </c>
      <c r="Q18" s="13" t="inlineStr"/>
      <c r="R18" s="13" t="inlineStr"/>
      <c r="S18" s="13" t="inlineStr"/>
      <c r="T18" s="16" t="inlineStr">
        <is>
          <t>X</t>
        </is>
      </c>
      <c r="U18" s="13" t="inlineStr"/>
      <c r="V18" s="13" t="inlineStr"/>
      <c r="W18" s="17">
        <f>B18 / COUNTIF(A$6:A$45, A18)</f>
        <v/>
      </c>
    </row>
    <row r="19" ht="24" customHeight="1">
      <c r="A19" s="18" t="inlineStr">
        <is>
          <t>RA3</t>
        </is>
      </c>
      <c r="B19" s="19" t="n">
        <v>0.2</v>
      </c>
      <c r="C19" s="18" t="inlineStr">
        <is>
          <t>CE3.c</t>
        </is>
      </c>
      <c r="D19" s="20" t="inlineStr">
        <is>
          <t>Se ha gestionado el estado reactivo y comunicación de componentes (Signals, RxJS).</t>
        </is>
      </c>
      <c r="E19" s="21" t="inlineStr">
        <is>
          <t>UD10, UD11</t>
        </is>
      </c>
      <c r="F19" s="14">
        <f>COUNTIF(H19:V19, "X")</f>
        <v/>
      </c>
      <c r="G19" s="18">
        <f>IF(F19&gt;0, "EVALUADO", "SIN EVALUAR")</f>
        <v/>
      </c>
      <c r="H19" s="21" t="inlineStr"/>
      <c r="I19" s="21" t="inlineStr"/>
      <c r="J19" s="21" t="inlineStr"/>
      <c r="K19" s="21" t="inlineStr"/>
      <c r="L19" s="15" t="inlineStr">
        <is>
          <t>X</t>
        </is>
      </c>
      <c r="M19" s="15" t="inlineStr">
        <is>
          <t>X</t>
        </is>
      </c>
      <c r="N19" s="21" t="inlineStr"/>
      <c r="O19" s="16" t="inlineStr">
        <is>
          <t>X</t>
        </is>
      </c>
      <c r="P19" s="21" t="inlineStr"/>
      <c r="Q19" s="21" t="inlineStr"/>
      <c r="R19" s="21" t="inlineStr"/>
      <c r="S19" s="21" t="inlineStr"/>
      <c r="T19" s="16" t="inlineStr">
        <is>
          <t>X</t>
        </is>
      </c>
      <c r="U19" s="16" t="inlineStr">
        <is>
          <t>X</t>
        </is>
      </c>
      <c r="V19" s="21" t="inlineStr"/>
      <c r="W19" s="22">
        <f>B19 / COUNTIF(A$6:A$45, A19)</f>
        <v/>
      </c>
    </row>
    <row r="20" ht="24" customHeight="1">
      <c r="A20" s="10" t="inlineStr">
        <is>
          <t>RA3</t>
        </is>
      </c>
      <c r="B20" s="11" t="n">
        <v>0.2</v>
      </c>
      <c r="C20" s="10" t="inlineStr">
        <is>
          <t>CE3.d</t>
        </is>
      </c>
      <c r="D20" s="12" t="inlineStr">
        <is>
          <t>Se han integrado directivas, pipes personalizados e inyección de dependencias.</t>
        </is>
      </c>
      <c r="E20" s="13" t="inlineStr">
        <is>
          <t>UD10, UD11</t>
        </is>
      </c>
      <c r="F20" s="14">
        <f>COUNTIF(H20:V20, "X")</f>
        <v/>
      </c>
      <c r="G20" s="10">
        <f>IF(F20&gt;0, "EVALUADO", "SIN EVALUAR")</f>
        <v/>
      </c>
      <c r="H20" s="13" t="inlineStr"/>
      <c r="I20" s="13" t="inlineStr"/>
      <c r="J20" s="13" t="inlineStr"/>
      <c r="K20" s="13" t="inlineStr"/>
      <c r="L20" s="15" t="inlineStr">
        <is>
          <t>X</t>
        </is>
      </c>
      <c r="M20" s="13" t="inlineStr"/>
      <c r="N20" s="13" t="inlineStr"/>
      <c r="O20" s="16" t="inlineStr">
        <is>
          <t>X</t>
        </is>
      </c>
      <c r="P20" s="13" t="inlineStr"/>
      <c r="Q20" s="13" t="inlineStr"/>
      <c r="R20" s="13" t="inlineStr"/>
      <c r="S20" s="13" t="inlineStr"/>
      <c r="T20" s="16" t="inlineStr">
        <is>
          <t>X</t>
        </is>
      </c>
      <c r="U20" s="13" t="inlineStr"/>
      <c r="V20" s="13" t="inlineStr"/>
      <c r="W20" s="17">
        <f>B20 / COUNTIF(A$6:A$45, A20)</f>
        <v/>
      </c>
    </row>
    <row r="21" ht="24" customHeight="1">
      <c r="A21" s="18" t="inlineStr">
        <is>
          <t>RA3</t>
        </is>
      </c>
      <c r="B21" s="19" t="n">
        <v>0.2</v>
      </c>
      <c r="C21" s="18" t="inlineStr">
        <is>
          <t>CE3.e</t>
        </is>
      </c>
      <c r="D21" s="20" t="inlineStr">
        <is>
          <t>Se ha documentado e interactuado con la librería de componentes mediante Storybook.</t>
        </is>
      </c>
      <c r="E21" s="21" t="inlineStr">
        <is>
          <t>UD14</t>
        </is>
      </c>
      <c r="F21" s="14">
        <f>COUNTIF(H21:V21, "X")</f>
        <v/>
      </c>
      <c r="G21" s="18">
        <f>IF(F21&gt;0, "EVALUADO", "SIN EVALUAR")</f>
        <v/>
      </c>
      <c r="H21" s="21" t="inlineStr"/>
      <c r="I21" s="21" t="inlineStr"/>
      <c r="J21" s="21" t="inlineStr"/>
      <c r="K21" s="21" t="inlineStr"/>
      <c r="L21" s="21" t="inlineStr"/>
      <c r="M21" s="21" t="inlineStr"/>
      <c r="N21" s="21" t="inlineStr"/>
      <c r="O21" s="21" t="inlineStr"/>
      <c r="P21" s="16" t="inlineStr">
        <is>
          <t>X</t>
        </is>
      </c>
      <c r="Q21" s="21" t="inlineStr"/>
      <c r="R21" s="21" t="inlineStr"/>
      <c r="S21" s="21" t="inlineStr"/>
      <c r="T21" s="16" t="inlineStr">
        <is>
          <t>X</t>
        </is>
      </c>
      <c r="U21" s="21" t="inlineStr"/>
      <c r="V21" s="21" t="inlineStr"/>
      <c r="W21" s="22">
        <f>B21 / COUNTIF(A$6:A$45, A21)</f>
        <v/>
      </c>
    </row>
    <row r="22" ht="24" customHeight="1">
      <c r="A22" s="10" t="inlineStr">
        <is>
          <t>RA3</t>
        </is>
      </c>
      <c r="B22" s="11" t="n">
        <v>0.2</v>
      </c>
      <c r="C22" s="10" t="inlineStr">
        <is>
          <t>CE3.f</t>
        </is>
      </c>
      <c r="D22" s="12" t="inlineStr">
        <is>
          <t>Se han creado formularios reactivos con validaciones asíncronas y accesibles.</t>
        </is>
      </c>
      <c r="E22" s="13" t="inlineStr">
        <is>
          <t>UD12</t>
        </is>
      </c>
      <c r="F22" s="14">
        <f>COUNTIF(H22:V22, "X")</f>
        <v/>
      </c>
      <c r="G22" s="10">
        <f>IF(F22&gt;0, "EVALUADO", "SIN EVALUAR")</f>
        <v/>
      </c>
      <c r="H22" s="13" t="inlineStr"/>
      <c r="I22" s="13" t="inlineStr"/>
      <c r="J22" s="13" t="inlineStr"/>
      <c r="K22" s="13" t="inlineStr"/>
      <c r="L22" s="13" t="inlineStr"/>
      <c r="M22" s="13" t="inlineStr"/>
      <c r="N22" s="13" t="inlineStr"/>
      <c r="O22" s="16" t="inlineStr">
        <is>
          <t>X</t>
        </is>
      </c>
      <c r="P22" s="13" t="inlineStr"/>
      <c r="Q22" s="13" t="inlineStr"/>
      <c r="R22" s="13" t="inlineStr"/>
      <c r="S22" s="13" t="inlineStr"/>
      <c r="T22" s="16" t="inlineStr">
        <is>
          <t>X</t>
        </is>
      </c>
      <c r="U22" s="16" t="inlineStr">
        <is>
          <t>X</t>
        </is>
      </c>
      <c r="V22" s="13" t="inlineStr"/>
      <c r="W22" s="17">
        <f>B22 / COUNTIF(A$6:A$45, A22)</f>
        <v/>
      </c>
    </row>
    <row r="23" ht="24" customHeight="1">
      <c r="A23" s="18" t="inlineStr">
        <is>
          <t>RA4</t>
        </is>
      </c>
      <c r="B23" s="19" t="n">
        <v>0.11</v>
      </c>
      <c r="C23" s="18" t="inlineStr">
        <is>
          <t>CE4.a</t>
        </is>
      </c>
      <c r="D23" s="20" t="inlineStr">
        <is>
          <t>Se han analizado las pautas WCAG 2.2 en niveles A, AA y AAA.</t>
        </is>
      </c>
      <c r="E23" s="21" t="inlineStr">
        <is>
          <t>UD02</t>
        </is>
      </c>
      <c r="F23" s="14">
        <f>COUNTIF(H23:V23, "X")</f>
        <v/>
      </c>
      <c r="G23" s="18">
        <f>IF(F23&gt;0, "EVALUADO", "SIN EVALUAR")</f>
        <v/>
      </c>
      <c r="H23" s="21" t="inlineStr"/>
      <c r="I23" s="21" t="inlineStr"/>
      <c r="J23" s="21" t="inlineStr"/>
      <c r="K23" s="15" t="inlineStr">
        <is>
          <t>X</t>
        </is>
      </c>
      <c r="L23" s="21" t="inlineStr"/>
      <c r="M23" s="15" t="inlineStr">
        <is>
          <t>X</t>
        </is>
      </c>
      <c r="N23" s="21" t="inlineStr"/>
      <c r="O23" s="21" t="inlineStr"/>
      <c r="P23" s="21" t="inlineStr"/>
      <c r="Q23" s="21" t="inlineStr"/>
      <c r="R23" s="21" t="inlineStr"/>
      <c r="S23" s="21" t="inlineStr"/>
      <c r="T23" s="21" t="inlineStr"/>
      <c r="U23" s="21" t="inlineStr"/>
      <c r="V23" s="21" t="inlineStr"/>
      <c r="W23" s="22">
        <f>B23 / COUNTIF(A$6:A$45, A23)</f>
        <v/>
      </c>
    </row>
    <row r="24" ht="24" customHeight="1">
      <c r="A24" s="10" t="inlineStr">
        <is>
          <t>RA4</t>
        </is>
      </c>
      <c r="B24" s="11" t="n">
        <v>0.11</v>
      </c>
      <c r="C24" s="10" t="inlineStr">
        <is>
          <t>CE4.b</t>
        </is>
      </c>
      <c r="D24" s="12" t="inlineStr">
        <is>
          <t>Se han verificado atributos semánticos WAI-ARIA (roles, states, live regions).</t>
        </is>
      </c>
      <c r="E24" s="13" t="inlineStr">
        <is>
          <t>UD02, UD12</t>
        </is>
      </c>
      <c r="F24" s="14">
        <f>COUNTIF(H24:V24, "X")</f>
        <v/>
      </c>
      <c r="G24" s="10">
        <f>IF(F24&gt;0, "EVALUADO", "SIN EVALUAR")</f>
        <v/>
      </c>
      <c r="H24" s="13" t="inlineStr"/>
      <c r="I24" s="13" t="inlineStr"/>
      <c r="J24" s="13" t="inlineStr"/>
      <c r="K24" s="15" t="inlineStr">
        <is>
          <t>X</t>
        </is>
      </c>
      <c r="L24" s="13" t="inlineStr"/>
      <c r="M24" s="13" t="inlineStr"/>
      <c r="N24" s="13" t="inlineStr"/>
      <c r="O24" s="16" t="inlineStr">
        <is>
          <t>X</t>
        </is>
      </c>
      <c r="P24" s="13" t="inlineStr"/>
      <c r="Q24" s="13" t="inlineStr"/>
      <c r="R24" s="13" t="inlineStr"/>
      <c r="S24" s="13" t="inlineStr"/>
      <c r="T24" s="16" t="inlineStr">
        <is>
          <t>X</t>
        </is>
      </c>
      <c r="U24" s="13" t="inlineStr"/>
      <c r="V24" s="13" t="inlineStr"/>
      <c r="W24" s="17">
        <f>B24 / COUNTIF(A$6:A$45, A24)</f>
        <v/>
      </c>
    </row>
    <row r="25" ht="24" customHeight="1">
      <c r="A25" s="18" t="inlineStr">
        <is>
          <t>RA4</t>
        </is>
      </c>
      <c r="B25" s="19" t="n">
        <v>0.11</v>
      </c>
      <c r="C25" s="18" t="inlineStr">
        <is>
          <t>CE4.c</t>
        </is>
      </c>
      <c r="D25" s="20" t="inlineStr">
        <is>
          <t>Se ha asegurado navegación por teclado, focos visibles y ratios de contraste.</t>
        </is>
      </c>
      <c r="E25" s="21" t="inlineStr">
        <is>
          <t>UD02, UD08</t>
        </is>
      </c>
      <c r="F25" s="14">
        <f>COUNTIF(H25:V25, "X")</f>
        <v/>
      </c>
      <c r="G25" s="18">
        <f>IF(F25&gt;0, "EVALUADO", "SIN EVALUAR")</f>
        <v/>
      </c>
      <c r="H25" s="21" t="inlineStr"/>
      <c r="I25" s="21" t="inlineStr"/>
      <c r="J25" s="21" t="inlineStr"/>
      <c r="K25" s="15" t="inlineStr">
        <is>
          <t>X</t>
        </is>
      </c>
      <c r="L25" s="21" t="inlineStr"/>
      <c r="M25" s="15" t="inlineStr">
        <is>
          <t>X</t>
        </is>
      </c>
      <c r="N25" s="21" t="inlineStr"/>
      <c r="O25" s="16" t="inlineStr">
        <is>
          <t>X</t>
        </is>
      </c>
      <c r="P25" s="21" t="inlineStr"/>
      <c r="Q25" s="21" t="inlineStr"/>
      <c r="R25" s="21" t="inlineStr"/>
      <c r="S25" s="21" t="inlineStr"/>
      <c r="T25" s="16" t="inlineStr">
        <is>
          <t>X</t>
        </is>
      </c>
      <c r="U25" s="21" t="inlineStr"/>
      <c r="V25" s="21" t="inlineStr"/>
      <c r="W25" s="22">
        <f>B25 / COUNTIF(A$6:A$45, A25)</f>
        <v/>
      </c>
    </row>
    <row r="26" ht="24" customHeight="1">
      <c r="A26" s="10" t="inlineStr">
        <is>
          <t>RA4</t>
        </is>
      </c>
      <c r="B26" s="11" t="n">
        <v>0.11</v>
      </c>
      <c r="C26" s="10" t="inlineStr">
        <is>
          <t>CE4.d</t>
        </is>
      </c>
      <c r="D26" s="12" t="inlineStr">
        <is>
          <t>Se han ejecutado auditorías automáticas de accesibilidad (Axe Core, Lighthouse).</t>
        </is>
      </c>
      <c r="E26" s="13" t="inlineStr">
        <is>
          <t>UD02</t>
        </is>
      </c>
      <c r="F26" s="14">
        <f>COUNTIF(H26:V26, "X")</f>
        <v/>
      </c>
      <c r="G26" s="10">
        <f>IF(F26&gt;0, "EVALUADO", "SIN EVALUAR")</f>
        <v/>
      </c>
      <c r="H26" s="13" t="inlineStr"/>
      <c r="I26" s="13" t="inlineStr"/>
      <c r="J26" s="13" t="inlineStr"/>
      <c r="K26" s="15" t="inlineStr">
        <is>
          <t>X</t>
        </is>
      </c>
      <c r="L26" s="13" t="inlineStr"/>
      <c r="M26" s="13" t="inlineStr"/>
      <c r="N26" s="13" t="inlineStr"/>
      <c r="O26" s="13" t="inlineStr"/>
      <c r="P26" s="13" t="inlineStr"/>
      <c r="Q26" s="13" t="inlineStr"/>
      <c r="R26" s="13" t="inlineStr"/>
      <c r="S26" s="13" t="inlineStr"/>
      <c r="T26" s="16" t="inlineStr">
        <is>
          <t>X</t>
        </is>
      </c>
      <c r="U26" s="13" t="inlineStr"/>
      <c r="V26" s="13" t="inlineStr"/>
      <c r="W26" s="17">
        <f>B26 / COUNTIF(A$6:A$45, A26)</f>
        <v/>
      </c>
    </row>
    <row r="27" ht="24" customHeight="1">
      <c r="A27" s="18" t="inlineStr">
        <is>
          <t>RA4</t>
        </is>
      </c>
      <c r="B27" s="19" t="n">
        <v>0.11</v>
      </c>
      <c r="C27" s="18" t="inlineStr">
        <is>
          <t>CE4.e</t>
        </is>
      </c>
      <c r="D27" s="20" t="inlineStr">
        <is>
          <t>Se han realizado pruebas de compatibilidad con lectores de pantalla (NVDA, VoiceOver).</t>
        </is>
      </c>
      <c r="E27" s="21" t="inlineStr">
        <is>
          <t>UD02, UD12</t>
        </is>
      </c>
      <c r="F27" s="14">
        <f>COUNTIF(H27:V27, "X")</f>
        <v/>
      </c>
      <c r="G27" s="18">
        <f>IF(F27&gt;0, "EVALUADO", "SIN EVALUAR")</f>
        <v/>
      </c>
      <c r="H27" s="21" t="inlineStr"/>
      <c r="I27" s="21" t="inlineStr"/>
      <c r="J27" s="21" t="inlineStr"/>
      <c r="K27" s="15" t="inlineStr">
        <is>
          <t>X</t>
        </is>
      </c>
      <c r="L27" s="21" t="inlineStr"/>
      <c r="M27" s="21" t="inlineStr"/>
      <c r="N27" s="21" t="inlineStr"/>
      <c r="O27" s="16" t="inlineStr">
        <is>
          <t>X</t>
        </is>
      </c>
      <c r="P27" s="21" t="inlineStr"/>
      <c r="Q27" s="21" t="inlineStr"/>
      <c r="R27" s="21" t="inlineStr"/>
      <c r="S27" s="21" t="inlineStr"/>
      <c r="T27" s="21" t="inlineStr"/>
      <c r="U27" s="21" t="inlineStr"/>
      <c r="V27" s="21" t="inlineStr"/>
      <c r="W27" s="22">
        <f>B27 / COUNTIF(A$6:A$45, A27)</f>
        <v/>
      </c>
    </row>
    <row r="28" ht="24" customHeight="1">
      <c r="A28" s="10" t="inlineStr">
        <is>
          <t>RA5</t>
        </is>
      </c>
      <c r="B28" s="11" t="n">
        <v>0.04</v>
      </c>
      <c r="C28" s="10" t="inlineStr">
        <is>
          <t>CE5.a</t>
        </is>
      </c>
      <c r="D28" s="12" t="inlineStr">
        <is>
          <t>Se han seleccionado herramientas y librerías de generación de documentos (jsPDF, SheetJS).</t>
        </is>
      </c>
      <c r="E28" s="13" t="inlineStr">
        <is>
          <t>UD16</t>
        </is>
      </c>
      <c r="F28" s="14">
        <f>COUNTIF(H28:V28, "X")</f>
        <v/>
      </c>
      <c r="G28" s="10">
        <f>IF(F28&gt;0, "EVALUADO", "SIN EVALUAR")</f>
        <v/>
      </c>
      <c r="H28" s="13" t="inlineStr"/>
      <c r="I28" s="13" t="inlineStr"/>
      <c r="J28" s="13" t="inlineStr"/>
      <c r="K28" s="13" t="inlineStr"/>
      <c r="L28" s="13" t="inlineStr"/>
      <c r="M28" s="13" t="inlineStr"/>
      <c r="N28" s="13" t="inlineStr"/>
      <c r="O28" s="13" t="inlineStr"/>
      <c r="P28" s="13" t="inlineStr"/>
      <c r="Q28" s="16" t="inlineStr">
        <is>
          <t>X</t>
        </is>
      </c>
      <c r="R28" s="13" t="inlineStr"/>
      <c r="S28" s="13" t="inlineStr"/>
      <c r="T28" s="16" t="inlineStr">
        <is>
          <t>X</t>
        </is>
      </c>
      <c r="U28" s="16" t="inlineStr">
        <is>
          <t>X</t>
        </is>
      </c>
      <c r="V28" s="13" t="inlineStr"/>
      <c r="W28" s="17">
        <f>B28 / COUNTIF(A$6:A$45, A28)</f>
        <v/>
      </c>
    </row>
    <row r="29" ht="24" customHeight="1">
      <c r="A29" s="18" t="inlineStr">
        <is>
          <t>RA5</t>
        </is>
      </c>
      <c r="B29" s="19" t="n">
        <v>0.04</v>
      </c>
      <c r="C29" s="18" t="inlineStr">
        <is>
          <t>CE5.b</t>
        </is>
      </c>
      <c r="D29" s="20" t="inlineStr">
        <is>
          <t>Se han diseñado plantillas de informes estructurados con tablas y paginación.</t>
        </is>
      </c>
      <c r="E29" s="21" t="inlineStr">
        <is>
          <t>UD16</t>
        </is>
      </c>
      <c r="F29" s="14">
        <f>COUNTIF(H29:V29, "X")</f>
        <v/>
      </c>
      <c r="G29" s="18">
        <f>IF(F29&gt;0, "EVALUADO", "SIN EVALUAR")</f>
        <v/>
      </c>
      <c r="H29" s="21" t="inlineStr"/>
      <c r="I29" s="21" t="inlineStr"/>
      <c r="J29" s="21" t="inlineStr"/>
      <c r="K29" s="21" t="inlineStr"/>
      <c r="L29" s="21" t="inlineStr"/>
      <c r="M29" s="21" t="inlineStr"/>
      <c r="N29" s="21" t="inlineStr"/>
      <c r="O29" s="21" t="inlineStr"/>
      <c r="P29" s="21" t="inlineStr"/>
      <c r="Q29" s="16" t="inlineStr">
        <is>
          <t>X</t>
        </is>
      </c>
      <c r="R29" s="21" t="inlineStr"/>
      <c r="S29" s="21" t="inlineStr"/>
      <c r="T29" s="16" t="inlineStr">
        <is>
          <t>X</t>
        </is>
      </c>
      <c r="U29" s="21" t="inlineStr"/>
      <c r="V29" s="21" t="inlineStr"/>
      <c r="W29" s="22">
        <f>B29 / COUNTIF(A$6:A$45, A29)</f>
        <v/>
      </c>
    </row>
    <row r="30" ht="24" customHeight="1">
      <c r="A30" s="10" t="inlineStr">
        <is>
          <t>RA5</t>
        </is>
      </c>
      <c r="B30" s="11" t="n">
        <v>0.04</v>
      </c>
      <c r="C30" s="10" t="inlineStr">
        <is>
          <t>CE5.c</t>
        </is>
      </c>
      <c r="D30" s="12" t="inlineStr">
        <is>
          <t>Se han creado cuadros de mando interactivos con visualización de datos (Chart.js).</t>
        </is>
      </c>
      <c r="E30" s="13" t="inlineStr">
        <is>
          <t>UD17</t>
        </is>
      </c>
      <c r="F30" s="14">
        <f>COUNTIF(H30:V30, "X")</f>
        <v/>
      </c>
      <c r="G30" s="10">
        <f>IF(F30&gt;0, "EVALUADO", "SIN EVALUAR")</f>
        <v/>
      </c>
      <c r="H30" s="13" t="inlineStr"/>
      <c r="I30" s="13" t="inlineStr"/>
      <c r="J30" s="13" t="inlineStr"/>
      <c r="K30" s="13" t="inlineStr"/>
      <c r="L30" s="13" t="inlineStr"/>
      <c r="M30" s="13" t="inlineStr"/>
      <c r="N30" s="13" t="inlineStr"/>
      <c r="O30" s="13" t="inlineStr"/>
      <c r="P30" s="13" t="inlineStr"/>
      <c r="Q30" s="16" t="inlineStr">
        <is>
          <t>X</t>
        </is>
      </c>
      <c r="R30" s="13" t="inlineStr"/>
      <c r="S30" s="13" t="inlineStr"/>
      <c r="T30" s="16" t="inlineStr">
        <is>
          <t>X</t>
        </is>
      </c>
      <c r="U30" s="13" t="inlineStr"/>
      <c r="V30" s="13" t="inlineStr"/>
      <c r="W30" s="17">
        <f>B30 / COUNTIF(A$6:A$45, A30)</f>
        <v/>
      </c>
    </row>
    <row r="31" ht="24" customHeight="1">
      <c r="A31" s="18" t="inlineStr">
        <is>
          <t>RA5</t>
        </is>
      </c>
      <c r="B31" s="19" t="n">
        <v>0.04</v>
      </c>
      <c r="C31" s="18" t="inlineStr">
        <is>
          <t>CE5.d</t>
        </is>
      </c>
      <c r="D31" s="20" t="inlineStr">
        <is>
          <t>Se han implementado filtros dinámicos y exportación en formatos estándar (PDF, Excel, CSV).</t>
        </is>
      </c>
      <c r="E31" s="21" t="inlineStr">
        <is>
          <t>UD17</t>
        </is>
      </c>
      <c r="F31" s="14">
        <f>COUNTIF(H31:V31, "X")</f>
        <v/>
      </c>
      <c r="G31" s="18">
        <f>IF(F31&gt;0, "EVALUADO", "SIN EVALUAR")</f>
        <v/>
      </c>
      <c r="H31" s="21" t="inlineStr"/>
      <c r="I31" s="21" t="inlineStr"/>
      <c r="J31" s="21" t="inlineStr"/>
      <c r="K31" s="21" t="inlineStr"/>
      <c r="L31" s="21" t="inlineStr"/>
      <c r="M31" s="21" t="inlineStr"/>
      <c r="N31" s="21" t="inlineStr"/>
      <c r="O31" s="21" t="inlineStr"/>
      <c r="P31" s="21" t="inlineStr"/>
      <c r="Q31" s="16" t="inlineStr">
        <is>
          <t>X</t>
        </is>
      </c>
      <c r="R31" s="21" t="inlineStr"/>
      <c r="S31" s="21" t="inlineStr"/>
      <c r="T31" s="16" t="inlineStr">
        <is>
          <t>X</t>
        </is>
      </c>
      <c r="U31" s="21" t="inlineStr"/>
      <c r="V31" s="21" t="inlineStr"/>
      <c r="W31" s="22">
        <f>B31 / COUNTIF(A$6:A$45, A31)</f>
        <v/>
      </c>
    </row>
    <row r="32" ht="24" customHeight="1">
      <c r="A32" s="10" t="inlineStr">
        <is>
          <t>RA6</t>
        </is>
      </c>
      <c r="B32" s="11" t="n">
        <v>0.07000000000000001</v>
      </c>
      <c r="C32" s="10" t="inlineStr">
        <is>
          <t>CE6.a</t>
        </is>
      </c>
      <c r="D32" s="12" t="inlineStr">
        <is>
          <t>Se han identificado destinatarios y requisitos de la documentación técnica y de usuario.</t>
        </is>
      </c>
      <c r="E32" s="13" t="inlineStr">
        <is>
          <t>UD18</t>
        </is>
      </c>
      <c r="F32" s="14">
        <f>COUNTIF(H32:V32, "X")</f>
        <v/>
      </c>
      <c r="G32" s="10">
        <f>IF(F32&gt;0, "EVALUADO", "SIN EVALUAR")</f>
        <v/>
      </c>
      <c r="H32" s="13" t="inlineStr"/>
      <c r="I32" s="13" t="inlineStr"/>
      <c r="J32" s="13" t="inlineStr"/>
      <c r="K32" s="13" t="inlineStr"/>
      <c r="L32" s="13" t="inlineStr"/>
      <c r="M32" s="13" t="inlineStr"/>
      <c r="N32" s="13" t="inlineStr"/>
      <c r="O32" s="13" t="inlineStr"/>
      <c r="P32" s="16" t="inlineStr">
        <is>
          <t>X</t>
        </is>
      </c>
      <c r="Q32" s="13" t="inlineStr"/>
      <c r="R32" s="13" t="inlineStr"/>
      <c r="S32" s="13" t="inlineStr"/>
      <c r="T32" s="16" t="inlineStr">
        <is>
          <t>X</t>
        </is>
      </c>
      <c r="U32" s="13" t="inlineStr"/>
      <c r="V32" s="16" t="inlineStr">
        <is>
          <t>X</t>
        </is>
      </c>
      <c r="W32" s="17">
        <f>B32 / COUNTIF(A$6:A$45, A32)</f>
        <v/>
      </c>
    </row>
    <row r="33" ht="24" customHeight="1">
      <c r="A33" s="18" t="inlineStr">
        <is>
          <t>RA6</t>
        </is>
      </c>
      <c r="B33" s="19" t="n">
        <v>0.07000000000000001</v>
      </c>
      <c r="C33" s="18" t="inlineStr">
        <is>
          <t>CE6.b</t>
        </is>
      </c>
      <c r="D33" s="20" t="inlineStr">
        <is>
          <t>Se han generado esquemas, diagramas de flujo y arquitectura de la interfaz.</t>
        </is>
      </c>
      <c r="E33" s="21" t="inlineStr">
        <is>
          <t>UD18</t>
        </is>
      </c>
      <c r="F33" s="14">
        <f>COUNTIF(H33:V33, "X")</f>
        <v/>
      </c>
      <c r="G33" s="18">
        <f>IF(F33&gt;0, "EVALUADO", "SIN EVALUAR")</f>
        <v/>
      </c>
      <c r="H33" s="21" t="inlineStr"/>
      <c r="I33" s="21" t="inlineStr"/>
      <c r="J33" s="21" t="inlineStr"/>
      <c r="K33" s="21" t="inlineStr"/>
      <c r="L33" s="21" t="inlineStr"/>
      <c r="M33" s="21" t="inlineStr"/>
      <c r="N33" s="21" t="inlineStr"/>
      <c r="O33" s="21" t="inlineStr"/>
      <c r="P33" s="16" t="inlineStr">
        <is>
          <t>X</t>
        </is>
      </c>
      <c r="Q33" s="21" t="inlineStr"/>
      <c r="R33" s="21" t="inlineStr"/>
      <c r="S33" s="21" t="inlineStr"/>
      <c r="T33" s="16" t="inlineStr">
        <is>
          <t>X</t>
        </is>
      </c>
      <c r="U33" s="21" t="inlineStr"/>
      <c r="V33" s="21" t="inlineStr"/>
      <c r="W33" s="22">
        <f>B33 / COUNTIF(A$6:A$45, A33)</f>
        <v/>
      </c>
    </row>
    <row r="34" ht="24" customHeight="1">
      <c r="A34" s="10" t="inlineStr">
        <is>
          <t>RA6</t>
        </is>
      </c>
      <c r="B34" s="11" t="n">
        <v>0.07000000000000001</v>
      </c>
      <c r="C34" s="10" t="inlineStr">
        <is>
          <t>CE6.c</t>
        </is>
      </c>
      <c r="D34" s="12" t="inlineStr">
        <is>
          <t>Se ha automatizado la generación de documentación de componentes (Compodoc, Storybook).</t>
        </is>
      </c>
      <c r="E34" s="13" t="inlineStr">
        <is>
          <t>UD14, UD18</t>
        </is>
      </c>
      <c r="F34" s="14">
        <f>COUNTIF(H34:V34, "X")</f>
        <v/>
      </c>
      <c r="G34" s="10">
        <f>IF(F34&gt;0, "EVALUADO", "SIN EVALUAR")</f>
        <v/>
      </c>
      <c r="H34" s="13" t="inlineStr"/>
      <c r="I34" s="13" t="inlineStr"/>
      <c r="J34" s="13" t="inlineStr"/>
      <c r="K34" s="13" t="inlineStr"/>
      <c r="L34" s="13" t="inlineStr"/>
      <c r="M34" s="13" t="inlineStr"/>
      <c r="N34" s="13" t="inlineStr"/>
      <c r="O34" s="13" t="inlineStr"/>
      <c r="P34" s="16" t="inlineStr">
        <is>
          <t>X</t>
        </is>
      </c>
      <c r="Q34" s="13" t="inlineStr"/>
      <c r="R34" s="13" t="inlineStr"/>
      <c r="S34" s="13" t="inlineStr"/>
      <c r="T34" s="16" t="inlineStr">
        <is>
          <t>X</t>
        </is>
      </c>
      <c r="U34" s="13" t="inlineStr"/>
      <c r="V34" s="13" t="inlineStr"/>
      <c r="W34" s="17">
        <f>B34 / COUNTIF(A$6:A$45, A34)</f>
        <v/>
      </c>
    </row>
    <row r="35" ht="24" customHeight="1">
      <c r="A35" s="18" t="inlineStr">
        <is>
          <t>RA6</t>
        </is>
      </c>
      <c r="B35" s="19" t="n">
        <v>0.07000000000000001</v>
      </c>
      <c r="C35" s="18" t="inlineStr">
        <is>
          <t>CE6.d</t>
        </is>
      </c>
      <c r="D35" s="20" t="inlineStr">
        <is>
          <t>Se han redactado guías de estilo, manuales interactivos y ayuda en línea (Zensical/Markdown).</t>
        </is>
      </c>
      <c r="E35" s="21" t="inlineStr">
        <is>
          <t>UD18</t>
        </is>
      </c>
      <c r="F35" s="14">
        <f>COUNTIF(H35:V35, "X")</f>
        <v/>
      </c>
      <c r="G35" s="18">
        <f>IF(F35&gt;0, "EVALUADO", "SIN EVALUAR")</f>
        <v/>
      </c>
      <c r="H35" s="21" t="inlineStr"/>
      <c r="I35" s="21" t="inlineStr"/>
      <c r="J35" s="21" t="inlineStr"/>
      <c r="K35" s="21" t="inlineStr"/>
      <c r="L35" s="21" t="inlineStr"/>
      <c r="M35" s="21" t="inlineStr"/>
      <c r="N35" s="21" t="inlineStr"/>
      <c r="O35" s="21" t="inlineStr"/>
      <c r="P35" s="16" t="inlineStr">
        <is>
          <t>X</t>
        </is>
      </c>
      <c r="Q35" s="21" t="inlineStr"/>
      <c r="R35" s="21" t="inlineStr"/>
      <c r="S35" s="21" t="inlineStr"/>
      <c r="T35" s="16" t="inlineStr">
        <is>
          <t>X</t>
        </is>
      </c>
      <c r="U35" s="21" t="inlineStr"/>
      <c r="V35" s="16" t="inlineStr">
        <is>
          <t>X</t>
        </is>
      </c>
      <c r="W35" s="22">
        <f>B35 / COUNTIF(A$6:A$45, A35)</f>
        <v/>
      </c>
    </row>
    <row r="36" ht="24" customHeight="1">
      <c r="A36" s="10" t="inlineStr">
        <is>
          <t>RA7</t>
        </is>
      </c>
      <c r="B36" s="11" t="n">
        <v>0.1</v>
      </c>
      <c r="C36" s="10" t="inlineStr">
        <is>
          <t>CE7.a</t>
        </is>
      </c>
      <c r="D36" s="12" t="inlineStr">
        <is>
          <t>Se han identificado entornos de ejecución y plataformas de destino (Windows, macOS, Linux).</t>
        </is>
      </c>
      <c r="E36" s="13" t="inlineStr">
        <is>
          <t>UD20</t>
        </is>
      </c>
      <c r="F36" s="14">
        <f>COUNTIF(H36:V36, "X")</f>
        <v/>
      </c>
      <c r="G36" s="10">
        <f>IF(F36&gt;0, "EVALUADO", "SIN EVALUAR")</f>
        <v/>
      </c>
      <c r="H36" s="13" t="inlineStr"/>
      <c r="I36" s="13" t="inlineStr"/>
      <c r="J36" s="13" t="inlineStr"/>
      <c r="K36" s="13" t="inlineStr"/>
      <c r="L36" s="13" t="inlineStr"/>
      <c r="M36" s="13" t="inlineStr"/>
      <c r="N36" s="13" t="inlineStr"/>
      <c r="O36" s="13" t="inlineStr"/>
      <c r="P36" s="13" t="inlineStr"/>
      <c r="Q36" s="13" t="inlineStr"/>
      <c r="R36" s="13" t="inlineStr"/>
      <c r="S36" s="16" t="inlineStr">
        <is>
          <t>X</t>
        </is>
      </c>
      <c r="T36" s="16" t="inlineStr">
        <is>
          <t>X</t>
        </is>
      </c>
      <c r="U36" s="13" t="inlineStr"/>
      <c r="V36" s="13" t="inlineStr"/>
      <c r="W36" s="17">
        <f>B36 / COUNTIF(A$6:A$45, A36)</f>
        <v/>
      </c>
    </row>
    <row r="37" ht="24" customHeight="1">
      <c r="A37" s="18" t="inlineStr">
        <is>
          <t>RA7</t>
        </is>
      </c>
      <c r="B37" s="19" t="n">
        <v>0.1</v>
      </c>
      <c r="C37" s="18" t="inlineStr">
        <is>
          <t>CE7.b</t>
        </is>
      </c>
      <c r="D37" s="20" t="inlineStr">
        <is>
          <t>Se ha integrado la aplicación Angular en un contenedor de escritorio con Electron.</t>
        </is>
      </c>
      <c r="E37" s="21" t="inlineStr">
        <is>
          <t>UD20</t>
        </is>
      </c>
      <c r="F37" s="14">
        <f>COUNTIF(H37:V37, "X")</f>
        <v/>
      </c>
      <c r="G37" s="18">
        <f>IF(F37&gt;0, "EVALUADO", "SIN EVALUAR")</f>
        <v/>
      </c>
      <c r="H37" s="21" t="inlineStr"/>
      <c r="I37" s="21" t="inlineStr"/>
      <c r="J37" s="21" t="inlineStr"/>
      <c r="K37" s="21" t="inlineStr"/>
      <c r="L37" s="21" t="inlineStr"/>
      <c r="M37" s="21" t="inlineStr"/>
      <c r="N37" s="21" t="inlineStr"/>
      <c r="O37" s="21" t="inlineStr"/>
      <c r="P37" s="21" t="inlineStr"/>
      <c r="Q37" s="21" t="inlineStr"/>
      <c r="R37" s="21" t="inlineStr"/>
      <c r="S37" s="16" t="inlineStr">
        <is>
          <t>X</t>
        </is>
      </c>
      <c r="T37" s="16" t="inlineStr">
        <is>
          <t>X</t>
        </is>
      </c>
      <c r="U37" s="16" t="inlineStr">
        <is>
          <t>X</t>
        </is>
      </c>
      <c r="V37" s="21" t="inlineStr"/>
      <c r="W37" s="22">
        <f>B37 / COUNTIF(A$6:A$45, A37)</f>
        <v/>
      </c>
    </row>
    <row r="38" ht="24" customHeight="1">
      <c r="A38" s="10" t="inlineStr">
        <is>
          <t>RA7</t>
        </is>
      </c>
      <c r="B38" s="11" t="n">
        <v>0.1</v>
      </c>
      <c r="C38" s="10" t="inlineStr">
        <is>
          <t>CE7.c</t>
        </is>
      </c>
      <c r="D38" s="12" t="inlineStr">
        <is>
          <t>Se ha configurado la comunicación IPC segura (Preload Scripts, Context Isolation).</t>
        </is>
      </c>
      <c r="E38" s="13" t="inlineStr">
        <is>
          <t>UD20</t>
        </is>
      </c>
      <c r="F38" s="14">
        <f>COUNTIF(H38:V38, "X")</f>
        <v/>
      </c>
      <c r="G38" s="10">
        <f>IF(F38&gt;0, "EVALUADO", "SIN EVALUAR")</f>
        <v/>
      </c>
      <c r="H38" s="13" t="inlineStr"/>
      <c r="I38" s="13" t="inlineStr"/>
      <c r="J38" s="13" t="inlineStr"/>
      <c r="K38" s="13" t="inlineStr"/>
      <c r="L38" s="13" t="inlineStr"/>
      <c r="M38" s="13" t="inlineStr"/>
      <c r="N38" s="13" t="inlineStr"/>
      <c r="O38" s="13" t="inlineStr"/>
      <c r="P38" s="13" t="inlineStr"/>
      <c r="Q38" s="13" t="inlineStr"/>
      <c r="R38" s="13" t="inlineStr"/>
      <c r="S38" s="16" t="inlineStr">
        <is>
          <t>X</t>
        </is>
      </c>
      <c r="T38" s="16" t="inlineStr">
        <is>
          <t>X</t>
        </is>
      </c>
      <c r="U38" s="16" t="inlineStr">
        <is>
          <t>X</t>
        </is>
      </c>
      <c r="V38" s="13" t="inlineStr"/>
      <c r="W38" s="17">
        <f>B38 / COUNTIF(A$6:A$45, A38)</f>
        <v/>
      </c>
    </row>
    <row r="39" ht="24" customHeight="1">
      <c r="A39" s="18" t="inlineStr">
        <is>
          <t>RA7</t>
        </is>
      </c>
      <c r="B39" s="19" t="n">
        <v>0.1</v>
      </c>
      <c r="C39" s="18" t="inlineStr">
        <is>
          <t>CE7.d</t>
        </is>
      </c>
      <c r="D39" s="20" t="inlineStr">
        <is>
          <t>Se han generado paquetes e instaladores multiplataforma (Forge, Builder, MSIX, AppImage).</t>
        </is>
      </c>
      <c r="E39" s="21" t="inlineStr">
        <is>
          <t>UD21</t>
        </is>
      </c>
      <c r="F39" s="14">
        <f>COUNTIF(H39:V39, "X")</f>
        <v/>
      </c>
      <c r="G39" s="18">
        <f>IF(F39&gt;0, "EVALUADO", "SIN EVALUAR")</f>
        <v/>
      </c>
      <c r="H39" s="21" t="inlineStr"/>
      <c r="I39" s="21" t="inlineStr"/>
      <c r="J39" s="21" t="inlineStr"/>
      <c r="K39" s="21" t="inlineStr"/>
      <c r="L39" s="21" t="inlineStr"/>
      <c r="M39" s="21" t="inlineStr"/>
      <c r="N39" s="21" t="inlineStr"/>
      <c r="O39" s="21" t="inlineStr"/>
      <c r="P39" s="21" t="inlineStr"/>
      <c r="Q39" s="21" t="inlineStr"/>
      <c r="R39" s="21" t="inlineStr"/>
      <c r="S39" s="16" t="inlineStr">
        <is>
          <t>X</t>
        </is>
      </c>
      <c r="T39" s="16" t="inlineStr">
        <is>
          <t>X</t>
        </is>
      </c>
      <c r="U39" s="21" t="inlineStr"/>
      <c r="V39" s="21" t="inlineStr"/>
      <c r="W39" s="22">
        <f>B39 / COUNTIF(A$6:A$45, A39)</f>
        <v/>
      </c>
    </row>
    <row r="40" ht="24" customHeight="1">
      <c r="A40" s="10" t="inlineStr">
        <is>
          <t>RA7</t>
        </is>
      </c>
      <c r="B40" s="11" t="n">
        <v>0.1</v>
      </c>
      <c r="C40" s="10" t="inlineStr">
        <is>
          <t>CE7.e</t>
        </is>
      </c>
      <c r="D40" s="12" t="inlineStr">
        <is>
          <t>Se han configurado actualizaciones automáticas y firmas de ejecutables.</t>
        </is>
      </c>
      <c r="E40" s="13" t="inlineStr">
        <is>
          <t>UD21</t>
        </is>
      </c>
      <c r="F40" s="14">
        <f>COUNTIF(H40:V40, "X")</f>
        <v/>
      </c>
      <c r="G40" s="10">
        <f>IF(F40&gt;0, "EVALUADO", "SIN EVALUAR")</f>
        <v/>
      </c>
      <c r="H40" s="13" t="inlineStr"/>
      <c r="I40" s="13" t="inlineStr"/>
      <c r="J40" s="13" t="inlineStr"/>
      <c r="K40" s="13" t="inlineStr"/>
      <c r="L40" s="13" t="inlineStr"/>
      <c r="M40" s="13" t="inlineStr"/>
      <c r="N40" s="13" t="inlineStr"/>
      <c r="O40" s="13" t="inlineStr"/>
      <c r="P40" s="13" t="inlineStr"/>
      <c r="Q40" s="13" t="inlineStr"/>
      <c r="R40" s="13" t="inlineStr"/>
      <c r="S40" s="16" t="inlineStr">
        <is>
          <t>X</t>
        </is>
      </c>
      <c r="T40" s="13" t="inlineStr"/>
      <c r="U40" s="13" t="inlineStr"/>
      <c r="V40" s="16" t="inlineStr">
        <is>
          <t>X</t>
        </is>
      </c>
      <c r="W40" s="17">
        <f>B40 / COUNTIF(A$6:A$45, A40)</f>
        <v/>
      </c>
    </row>
    <row r="41" ht="24" customHeight="1">
      <c r="A41" s="18" t="inlineStr">
        <is>
          <t>RA8</t>
        </is>
      </c>
      <c r="B41" s="19" t="n">
        <v>0.1</v>
      </c>
      <c r="C41" s="18" t="inlineStr">
        <is>
          <t>CE8.a</t>
        </is>
      </c>
      <c r="D41" s="20" t="inlineStr">
        <is>
          <t>Se ha planificado la estrategia de pruebas de la interfaz de usuario.</t>
        </is>
      </c>
      <c r="E41" s="21" t="inlineStr">
        <is>
          <t>UD19</t>
        </is>
      </c>
      <c r="F41" s="14">
        <f>COUNTIF(H41:V41, "X")</f>
        <v/>
      </c>
      <c r="G41" s="18">
        <f>IF(F41&gt;0, "EVALUADO", "SIN EVALUAR")</f>
        <v/>
      </c>
      <c r="H41" s="21" t="inlineStr"/>
      <c r="I41" s="21" t="inlineStr"/>
      <c r="J41" s="21" t="inlineStr"/>
      <c r="K41" s="21" t="inlineStr"/>
      <c r="L41" s="21" t="inlineStr"/>
      <c r="M41" s="21" t="inlineStr"/>
      <c r="N41" s="21" t="inlineStr"/>
      <c r="O41" s="21" t="inlineStr"/>
      <c r="P41" s="21" t="inlineStr"/>
      <c r="Q41" s="21" t="inlineStr"/>
      <c r="R41" s="16" t="inlineStr">
        <is>
          <t>X</t>
        </is>
      </c>
      <c r="S41" s="21" t="inlineStr"/>
      <c r="T41" s="16" t="inlineStr">
        <is>
          <t>X</t>
        </is>
      </c>
      <c r="U41" s="21" t="inlineStr"/>
      <c r="V41" s="16" t="inlineStr">
        <is>
          <t>X</t>
        </is>
      </c>
      <c r="W41" s="22">
        <f>B41 / COUNTIF(A$6:A$45, A41)</f>
        <v/>
      </c>
    </row>
    <row r="42" ht="24" customHeight="1">
      <c r="A42" s="10" t="inlineStr">
        <is>
          <t>RA8</t>
        </is>
      </c>
      <c r="B42" s="11" t="n">
        <v>0.1</v>
      </c>
      <c r="C42" s="10" t="inlineStr">
        <is>
          <t>CE8.b</t>
        </is>
      </c>
      <c r="D42" s="12" t="inlineStr">
        <is>
          <t>Se han implementado pruebas unitarias de componentes y servicios (Vitest).</t>
        </is>
      </c>
      <c r="E42" s="13" t="inlineStr">
        <is>
          <t>UD19</t>
        </is>
      </c>
      <c r="F42" s="14">
        <f>COUNTIF(H42:V42, "X")</f>
        <v/>
      </c>
      <c r="G42" s="10">
        <f>IF(F42&gt;0, "EVALUADO", "SIN EVALUAR")</f>
        <v/>
      </c>
      <c r="H42" s="13" t="inlineStr"/>
      <c r="I42" s="13" t="inlineStr"/>
      <c r="J42" s="13" t="inlineStr"/>
      <c r="K42" s="13" t="inlineStr"/>
      <c r="L42" s="13" t="inlineStr"/>
      <c r="M42" s="13" t="inlineStr"/>
      <c r="N42" s="13" t="inlineStr"/>
      <c r="O42" s="13" t="inlineStr"/>
      <c r="P42" s="13" t="inlineStr"/>
      <c r="Q42" s="13" t="inlineStr"/>
      <c r="R42" s="16" t="inlineStr">
        <is>
          <t>X</t>
        </is>
      </c>
      <c r="S42" s="13" t="inlineStr"/>
      <c r="T42" s="16" t="inlineStr">
        <is>
          <t>X</t>
        </is>
      </c>
      <c r="U42" s="16" t="inlineStr">
        <is>
          <t>X</t>
        </is>
      </c>
      <c r="V42" s="13" t="inlineStr"/>
      <c r="W42" s="17">
        <f>B42 / COUNTIF(A$6:A$45, A42)</f>
        <v/>
      </c>
    </row>
    <row r="43" ht="24" customHeight="1">
      <c r="A43" s="18" t="inlineStr">
        <is>
          <t>RA8</t>
        </is>
      </c>
      <c r="B43" s="19" t="n">
        <v>0.1</v>
      </c>
      <c r="C43" s="18" t="inlineStr">
        <is>
          <t>CE8.c</t>
        </is>
      </c>
      <c r="D43" s="20" t="inlineStr">
        <is>
          <t>Se han realizado pruebas de integración y simulación de eventos (Testing Library).</t>
        </is>
      </c>
      <c r="E43" s="21" t="inlineStr">
        <is>
          <t>UD19</t>
        </is>
      </c>
      <c r="F43" s="14">
        <f>COUNTIF(H43:V43, "X")</f>
        <v/>
      </c>
      <c r="G43" s="18">
        <f>IF(F43&gt;0, "EVALUADO", "SIN EVALUAR")</f>
        <v/>
      </c>
      <c r="H43" s="21" t="inlineStr"/>
      <c r="I43" s="21" t="inlineStr"/>
      <c r="J43" s="21" t="inlineStr"/>
      <c r="K43" s="21" t="inlineStr"/>
      <c r="L43" s="21" t="inlineStr"/>
      <c r="M43" s="21" t="inlineStr"/>
      <c r="N43" s="21" t="inlineStr"/>
      <c r="O43" s="21" t="inlineStr"/>
      <c r="P43" s="21" t="inlineStr"/>
      <c r="Q43" s="21" t="inlineStr"/>
      <c r="R43" s="16" t="inlineStr">
        <is>
          <t>X</t>
        </is>
      </c>
      <c r="S43" s="21" t="inlineStr"/>
      <c r="T43" s="16" t="inlineStr">
        <is>
          <t>X</t>
        </is>
      </c>
      <c r="U43" s="21" t="inlineStr"/>
      <c r="V43" s="21" t="inlineStr"/>
      <c r="W43" s="22">
        <f>B43 / COUNTIF(A$6:A$45, A43)</f>
        <v/>
      </c>
    </row>
    <row r="44" ht="24" customHeight="1">
      <c r="A44" s="10" t="inlineStr">
        <is>
          <t>RA8</t>
        </is>
      </c>
      <c r="B44" s="11" t="n">
        <v>0.1</v>
      </c>
      <c r="C44" s="10" t="inlineStr">
        <is>
          <t>CE8.d</t>
        </is>
      </c>
      <c r="D44" s="12" t="inlineStr">
        <is>
          <t>Se han automatizado pruebas End-to-End (E2E) de flujos críticos (Playwright).</t>
        </is>
      </c>
      <c r="E44" s="13" t="inlineStr">
        <is>
          <t>UD19</t>
        </is>
      </c>
      <c r="F44" s="14">
        <f>COUNTIF(H44:V44, "X")</f>
        <v/>
      </c>
      <c r="G44" s="10">
        <f>IF(F44&gt;0, "EVALUADO", "SIN EVALUAR")</f>
        <v/>
      </c>
      <c r="H44" s="13" t="inlineStr"/>
      <c r="I44" s="13" t="inlineStr"/>
      <c r="J44" s="13" t="inlineStr"/>
      <c r="K44" s="13" t="inlineStr"/>
      <c r="L44" s="13" t="inlineStr"/>
      <c r="M44" s="13" t="inlineStr"/>
      <c r="N44" s="13" t="inlineStr"/>
      <c r="O44" s="13" t="inlineStr"/>
      <c r="P44" s="13" t="inlineStr"/>
      <c r="Q44" s="13" t="inlineStr"/>
      <c r="R44" s="16" t="inlineStr">
        <is>
          <t>X</t>
        </is>
      </c>
      <c r="S44" s="13" t="inlineStr"/>
      <c r="T44" s="16" t="inlineStr">
        <is>
          <t>X</t>
        </is>
      </c>
      <c r="U44" s="16" t="inlineStr">
        <is>
          <t>X</t>
        </is>
      </c>
      <c r="V44" s="13" t="inlineStr"/>
      <c r="W44" s="17">
        <f>B44 / COUNTIF(A$6:A$45, A44)</f>
        <v/>
      </c>
    </row>
    <row r="45" ht="24" customHeight="1">
      <c r="A45" s="18" t="inlineStr">
        <is>
          <t>RA8</t>
        </is>
      </c>
      <c r="B45" s="19" t="n">
        <v>0.1</v>
      </c>
      <c r="C45" s="18" t="inlineStr">
        <is>
          <t>CE8.e</t>
        </is>
      </c>
      <c r="D45" s="20" t="inlineStr">
        <is>
          <t>Se han medido métricas de rendimiento, tiempos de renderizado y Core Web Vitals.</t>
        </is>
      </c>
      <c r="E45" s="21" t="inlineStr">
        <is>
          <t>UD19</t>
        </is>
      </c>
      <c r="F45" s="14">
        <f>COUNTIF(H45:V45, "X")</f>
        <v/>
      </c>
      <c r="G45" s="18">
        <f>IF(F45&gt;0, "EVALUADO", "SIN EVALUAR")</f>
        <v/>
      </c>
      <c r="H45" s="21" t="inlineStr"/>
      <c r="I45" s="21" t="inlineStr"/>
      <c r="J45" s="21" t="inlineStr"/>
      <c r="K45" s="21" t="inlineStr"/>
      <c r="L45" s="21" t="inlineStr"/>
      <c r="M45" s="21" t="inlineStr"/>
      <c r="N45" s="21" t="inlineStr"/>
      <c r="O45" s="21" t="inlineStr"/>
      <c r="P45" s="21" t="inlineStr"/>
      <c r="Q45" s="21" t="inlineStr"/>
      <c r="R45" s="16" t="inlineStr">
        <is>
          <t>X</t>
        </is>
      </c>
      <c r="S45" s="21" t="inlineStr"/>
      <c r="T45" s="16" t="inlineStr">
        <is>
          <t>X</t>
        </is>
      </c>
      <c r="U45" s="21" t="inlineStr"/>
      <c r="V45" s="21" t="inlineStr"/>
      <c r="W45" s="22">
        <f>B45 / COUNTIF(A$6:A$45, A45)</f>
        <v/>
      </c>
    </row>
    <row r="46" ht="24" customHeight="1">
      <c r="A46" s="23" t="inlineStr">
        <is>
          <t>TOTAL CRITERIOS EVALUADOS POR ESTA TAREA</t>
        </is>
      </c>
      <c r="H46" s="24">
        <f>COUNTIF(H$6:H$45, "X")</f>
        <v/>
      </c>
      <c r="I46" s="24">
        <f>COUNTIF(I$6:I$45, "X")</f>
        <v/>
      </c>
      <c r="J46" s="24">
        <f>COUNTIF(J$6:J$45, "X")</f>
        <v/>
      </c>
      <c r="K46" s="24">
        <f>COUNTIF(K$6:K$45, "X")</f>
        <v/>
      </c>
      <c r="L46" s="24">
        <f>COUNTIF(L$6:L$45, "X")</f>
        <v/>
      </c>
      <c r="M46" s="24">
        <f>COUNTIF(M$6:M$45, "X")</f>
        <v/>
      </c>
      <c r="N46" s="24">
        <f>COUNTIF(N$6:N$45, "X")</f>
        <v/>
      </c>
      <c r="O46" s="24">
        <f>COUNTIF(O$6:O$45, "X")</f>
        <v/>
      </c>
      <c r="P46" s="24">
        <f>COUNTIF(P$6:P$45, "X")</f>
        <v/>
      </c>
      <c r="Q46" s="24">
        <f>COUNTIF(Q$6:Q$45, "X")</f>
        <v/>
      </c>
      <c r="R46" s="24">
        <f>COUNTIF(R$6:R$45, "X")</f>
        <v/>
      </c>
      <c r="S46" s="24">
        <f>COUNTIF(S$6:S$45, "X")</f>
        <v/>
      </c>
      <c r="T46" s="24">
        <f>COUNTIF(T$6:T$45, "X")</f>
        <v/>
      </c>
      <c r="U46" s="24">
        <f>COUNTIF(U$6:U$45, "X")</f>
        <v/>
      </c>
      <c r="V46" s="24">
        <f>COUNTIF(V$6:V$45, "X")</f>
        <v/>
      </c>
      <c r="W46" s="25" t="inlineStr">
        <is>
          <t>100.0%</t>
        </is>
      </c>
    </row>
    <row r="47" ht="26" customHeight="1">
      <c r="A47" s="26" t="inlineStr">
        <is>
          <t>SUMA DE CRITERIOS EVALUADOS EN ESTA TAREA (Suma Directa con 'X')</t>
        </is>
      </c>
      <c r="H47" s="27">
        <f>SUMIF(H$6:H$45, "X", $W$6:$W$45)</f>
        <v/>
      </c>
      <c r="I47" s="27">
        <f>SUMIF(I$6:I$45, "X", $W$6:$W$45)</f>
        <v/>
      </c>
      <c r="J47" s="27">
        <f>SUMIF(J$6:J$45, "X", $W$6:$W$45)</f>
        <v/>
      </c>
      <c r="K47" s="27">
        <f>SUMIF(K$6:K$45, "X", $W$6:$W$45)</f>
        <v/>
      </c>
      <c r="L47" s="27">
        <f>SUMIF(L$6:L$45, "X", $W$6:$W$45)</f>
        <v/>
      </c>
      <c r="M47" s="27">
        <f>SUMIF(M$6:M$45, "X", $W$6:$W$45)</f>
        <v/>
      </c>
      <c r="N47" s="27">
        <f>SUMIF(N$6:N$45, "X", $W$6:$W$45)</f>
        <v/>
      </c>
      <c r="O47" s="27">
        <f>SUMIF(O$6:O$45, "X", $W$6:$W$45)</f>
        <v/>
      </c>
      <c r="P47" s="27">
        <f>SUMIF(P$6:P$45, "X", $W$6:$W$45)</f>
        <v/>
      </c>
      <c r="Q47" s="27">
        <f>SUMIF(Q$6:Q$45, "X", $W$6:$W$45)</f>
        <v/>
      </c>
      <c r="R47" s="27">
        <f>SUMIF(R$6:R$45, "X", $W$6:$W$45)</f>
        <v/>
      </c>
      <c r="S47" s="27">
        <f>SUMIF(S$6:S$45, "X", $W$6:$W$45)</f>
        <v/>
      </c>
      <c r="T47" s="27">
        <f>SUMIF(T$6:T$45, "X", $W$6:$W$45)</f>
        <v/>
      </c>
      <c r="U47" s="27">
        <f>SUMIF(U$6:U$45, "X", $W$6:$W$45)</f>
        <v/>
      </c>
      <c r="V47" s="27">
        <f>SUMIF(V$6:V$45, "X", $W$6:$W$45)</f>
        <v/>
      </c>
      <c r="W47" s="28">
        <f>SUM(H47:V47)</f>
        <v/>
      </c>
    </row>
    <row r="48" ht="26" customHeight="1">
      <c r="A48" s="29" t="inlineStr">
        <is>
          <t>% PONDERACIÓN EN EL TRIMESTRE (Normalizado a 100% para boletín de notas)</t>
        </is>
      </c>
      <c r="H48" s="30">
        <f>IF(SUM($H$47:$N$47)=0, 0, H$47 / SUM($H$47:$N$47))</f>
        <v/>
      </c>
      <c r="I48" s="30">
        <f>IF(SUM($H$47:$N$47)=0, 0, I$47 / SUM($H$47:$N$47))</f>
        <v/>
      </c>
      <c r="J48" s="30">
        <f>IF(SUM($H$47:$N$47)=0, 0, J$47 / SUM($H$47:$N$47))</f>
        <v/>
      </c>
      <c r="K48" s="30">
        <f>IF(SUM($H$47:$N$47)=0, 0, K$47 / SUM($H$47:$N$47))</f>
        <v/>
      </c>
      <c r="L48" s="30">
        <f>IF(SUM($H$47:$N$47)=0, 0, L$47 / SUM($H$47:$N$47))</f>
        <v/>
      </c>
      <c r="M48" s="30">
        <f>IF(SUM($H$47:$N$47)=0, 0, M$47 / SUM($H$47:$N$47))</f>
        <v/>
      </c>
      <c r="N48" s="30">
        <f>IF(SUM($H$47:$N$47)=0, 0, N$47 / SUM($H$47:$N$47))</f>
        <v/>
      </c>
      <c r="O48" s="30">
        <f>IF(SUM($O$47:$V$47)=0, 0, O$47 / SUM($O$47:$V$47))</f>
        <v/>
      </c>
      <c r="P48" s="30">
        <f>IF(SUM($O$47:$V$47)=0, 0, P$47 / SUM($O$47:$V$47))</f>
        <v/>
      </c>
      <c r="Q48" s="30">
        <f>IF(SUM($O$47:$V$47)=0, 0, Q$47 / SUM($O$47:$V$47))</f>
        <v/>
      </c>
      <c r="R48" s="30">
        <f>IF(SUM($O$47:$V$47)=0, 0, R$47 / SUM($O$47:$V$47))</f>
        <v/>
      </c>
      <c r="S48" s="30">
        <f>IF(SUM($O$47:$V$47)=0, 0, S$47 / SUM($O$47:$V$47))</f>
        <v/>
      </c>
      <c r="T48" s="30">
        <f>IF(SUM($O$47:$V$47)=0, 0, T$47 / SUM($O$47:$V$47))</f>
        <v/>
      </c>
      <c r="U48" s="30">
        <f>IF(SUM($O$47:$V$47)=0, 0, U$47 / SUM($O$47:$V$47))</f>
        <v/>
      </c>
      <c r="V48" s="30">
        <f>IF(SUM($O$47:$V$47)=0, 0, V$47 / SUM($O$47:$V$47))</f>
        <v/>
      </c>
      <c r="W48" s="31" t="inlineStr">
        <is>
          <t>100% T1 / 100% T2</t>
        </is>
      </c>
    </row>
  </sheetData>
  <mergeCells count="9">
    <mergeCell ref="A1:W1"/>
    <mergeCell ref="H4:N4"/>
    <mergeCell ref="W4:W5"/>
    <mergeCell ref="A4:G4"/>
    <mergeCell ref="A48:G48"/>
    <mergeCell ref="A2:W2"/>
    <mergeCell ref="O4:V4"/>
    <mergeCell ref="A47:G47"/>
    <mergeCell ref="A46:G46"/>
  </mergeCells>
  <conditionalFormatting sqref="G6:G45">
    <cfRule type="cellIs" priority="1" operator="equal" dxfId="0" stopIfTrue="1">
      <formula>"EVALUADO"</formula>
    </cfRule>
    <cfRule type="cellIs" priority="2" operator="equal" dxfId="1" stopIfTrue="1">
      <formula>"SIN EVALUAR"</formula>
    </cfRule>
  </conditionalFormatting>
  <conditionalFormatting sqref="H6:V45">
    <cfRule type="cellIs" priority="3" operator="equal" dxfId="2" stopIfTrue="1">
      <formula>"X"</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
  <sheetViews>
    <sheetView showGridLines="1" workbookViewId="0">
      <selection activeCell="A1" sqref="A1"/>
    </sheetView>
  </sheetViews>
  <sheetFormatPr baseColWidth="8" defaultRowHeight="15"/>
  <cols>
    <col width="5" customWidth="1" min="1" max="1"/>
    <col width="25" customWidth="1" min="2" max="2"/>
    <col width="8" customWidth="1" min="3" max="3"/>
    <col width="12" customWidth="1" min="4" max="4"/>
    <col width="12" customWidth="1" min="5" max="5"/>
    <col width="12" customWidth="1" min="6" max="6"/>
    <col width="12" customWidth="1" min="7" max="7"/>
    <col width="12" customWidth="1" min="8" max="8"/>
    <col width="12" customWidth="1" min="9" max="9"/>
    <col width="11" customWidth="1" min="10" max="10"/>
    <col width="12" customWidth="1" min="11" max="11"/>
    <col width="12" customWidth="1" min="12" max="12"/>
    <col width="12" customWidth="1" min="13" max="13"/>
    <col width="12" customWidth="1" min="14" max="14"/>
    <col width="12" customWidth="1" min="15" max="15"/>
    <col width="13" customWidth="1" min="16" max="16"/>
    <col width="12" customWidth="1" min="17" max="17"/>
    <col width="11" customWidth="1" min="18" max="18"/>
    <col width="15" customWidth="1" min="19" max="19"/>
    <col width="15" customWidth="1" min="20" max="20"/>
  </cols>
  <sheetData>
    <row r="1" ht="36" customHeight="1">
      <c r="A1" s="1" t="inlineStr">
        <is>
          <t>REGISTRO DE CALIFICACIONES POR TAREA — DESARROLLO DE INTERFACES (2º DAM)</t>
        </is>
      </c>
    </row>
    <row r="2" ht="20" customHeight="1">
      <c r="A2" s="2" t="inlineStr">
        <is>
          <t>Introduce las notas obtenidas (0 a 10). Las cabeceras muestran el % dinámico calculado a partir de los criterios seleccionados en 'Matriz Criterios'.</t>
        </is>
      </c>
    </row>
    <row r="4">
      <c r="A4" s="3" t="inlineStr">
        <is>
          <t>DATOS DEL ALUMNADO</t>
        </is>
      </c>
      <c r="D4" s="4" t="inlineStr">
        <is>
          <t>TAREAS 1er TRIMESTRE (T1) — PESOS DERIVADOS DE CRITERIOS</t>
        </is>
      </c>
      <c r="K4" s="5" t="inlineStr">
        <is>
          <t>TAREAS 2º TRIMESTRE (T2) — PESOS DERIVADOS DE CRITERIOS</t>
        </is>
      </c>
      <c r="S4" s="6" t="inlineStr">
        <is>
          <t>CALIFICACIONES TRIMESTRALES</t>
        </is>
      </c>
    </row>
    <row r="5" ht="36" customHeight="1">
      <c r="A5" s="32" t="inlineStr">
        <is>
          <t>Nº</t>
        </is>
      </c>
      <c r="B5" s="32" t="inlineStr">
        <is>
          <t>Apellidos, Nombre</t>
        </is>
      </c>
      <c r="C5" s="32" t="inlineStr">
        <is>
          <t>Grupo</t>
        </is>
      </c>
      <c r="D5" s="8" t="inlineStr">
        <is>
          <t>T01
Figma &amp; UX</t>
        </is>
      </c>
      <c r="E5" s="8" t="inlineStr">
        <is>
          <t>T02
NUI &amp; Voz</t>
        </is>
      </c>
      <c r="F5" s="8" t="inlineStr">
        <is>
          <t>T03
Tailwind</t>
        </is>
      </c>
      <c r="G5" s="8" t="inlineStr">
        <is>
          <t>T04
Accesib.</t>
        </is>
      </c>
      <c r="H5" s="8" t="inlineStr">
        <is>
          <t>T05
Angular</t>
        </is>
      </c>
      <c r="I5" s="8" t="inlineStr">
        <is>
          <t>T06
Examen T1</t>
        </is>
      </c>
      <c r="J5" s="8" t="inlineStr">
        <is>
          <t>T07
Git T1</t>
        </is>
      </c>
      <c r="K5" s="9" t="inlineStr">
        <is>
          <t>T08
Forms A11y</t>
        </is>
      </c>
      <c r="L5" s="9" t="inlineStr">
        <is>
          <t>T09
Storybook</t>
        </is>
      </c>
      <c r="M5" s="9" t="inlineStr">
        <is>
          <t>T10
Informes</t>
        </is>
      </c>
      <c r="N5" s="9" t="inlineStr">
        <is>
          <t>T11
Vitest/E2E</t>
        </is>
      </c>
      <c r="O5" s="9" t="inlineStr">
        <is>
          <t>T12
Electron</t>
        </is>
      </c>
      <c r="P5" s="9" t="inlineStr">
        <is>
          <t>T13
GesFlow</t>
        </is>
      </c>
      <c r="Q5" s="9" t="inlineStr">
        <is>
          <t>T14
Examen T2</t>
        </is>
      </c>
      <c r="R5" s="9" t="inlineStr">
        <is>
          <t>T15
Git T2</t>
        </is>
      </c>
      <c r="S5" s="33" t="inlineStr">
        <is>
          <t>1º TRIMESTRE
(100% Criterios)</t>
        </is>
      </c>
      <c r="T5" s="33" t="inlineStr">
        <is>
          <t>2º TRIMESTRE
(100% Criterios)</t>
        </is>
      </c>
    </row>
    <row r="6" ht="20" customHeight="1">
      <c r="A6" s="13" t="n">
        <v>1</v>
      </c>
      <c r="B6" s="34" t="inlineStr">
        <is>
          <t>Álvarez Gómez, Laura</t>
        </is>
      </c>
      <c r="C6" s="13" t="inlineStr">
        <is>
          <t>2º DAM</t>
        </is>
      </c>
      <c r="D6" s="35" t="n">
        <v>8.5</v>
      </c>
      <c r="E6" s="35" t="n">
        <v>9</v>
      </c>
      <c r="F6" s="35" t="n">
        <v>8</v>
      </c>
      <c r="G6" s="35" t="n">
        <v>8.5</v>
      </c>
      <c r="H6" s="35" t="n">
        <v>9</v>
      </c>
      <c r="I6" s="35" t="n">
        <v>8.5</v>
      </c>
      <c r="J6" s="35" t="n">
        <v>9</v>
      </c>
      <c r="K6" s="35" t="n">
        <v>8.5</v>
      </c>
      <c r="L6" s="35" t="n">
        <v>9</v>
      </c>
      <c r="M6" s="35" t="n">
        <v>8.5</v>
      </c>
      <c r="N6" s="35" t="n">
        <v>9</v>
      </c>
      <c r="O6" s="35" t="n">
        <v>8.5</v>
      </c>
      <c r="P6" s="35" t="n">
        <v>9</v>
      </c>
      <c r="Q6" s="35" t="n">
        <v>8.5</v>
      </c>
      <c r="R6" s="35" t="n">
        <v>9.5</v>
      </c>
      <c r="S6" s="36">
        <f>D6*'Matriz Criterios'!H$48 + E6*'Matriz Criterios'!I$48 + F6*'Matriz Criterios'!J$48 + G6*'Matriz Criterios'!K$48 + H6*'Matriz Criterios'!L$48 + I6*'Matriz Criterios'!M$48 + J6*'Matriz Criterios'!N$48</f>
        <v/>
      </c>
      <c r="T6" s="37">
        <f>K6*'Matriz Criterios'!O$48 + L6*'Matriz Criterios'!P$48 + M6*'Matriz Criterios'!Q$48 + N6*'Matriz Criterios'!R$48 + O6*'Matriz Criterios'!S$48 + P6*'Matriz Criterios'!T$48 + Q6*'Matriz Criterios'!U$48 + R6*'Matriz Criterios'!V$48</f>
        <v/>
      </c>
    </row>
    <row r="7" ht="20" customHeight="1">
      <c r="A7" s="21" t="n">
        <v>2</v>
      </c>
      <c r="B7" s="38" t="inlineStr">
        <is>
          <t>Benítez Romero, Carlos</t>
        </is>
      </c>
      <c r="C7" s="21" t="inlineStr">
        <is>
          <t>2º DAM</t>
        </is>
      </c>
      <c r="D7" s="39" t="n">
        <v>6</v>
      </c>
      <c r="E7" s="39" t="n">
        <v>5.5</v>
      </c>
      <c r="F7" s="39" t="n">
        <v>6.5</v>
      </c>
      <c r="G7" s="39" t="n">
        <v>7</v>
      </c>
      <c r="H7" s="39" t="n">
        <v>6</v>
      </c>
      <c r="I7" s="39" t="n">
        <v>6</v>
      </c>
      <c r="J7" s="39" t="n">
        <v>7</v>
      </c>
      <c r="K7" s="39" t="n">
        <v>6.5</v>
      </c>
      <c r="L7" s="39" t="n">
        <v>6</v>
      </c>
      <c r="M7" s="39" t="n">
        <v>7</v>
      </c>
      <c r="N7" s="39" t="n">
        <v>6.5</v>
      </c>
      <c r="O7" s="39" t="n">
        <v>6</v>
      </c>
      <c r="P7" s="39" t="n">
        <v>6.5</v>
      </c>
      <c r="Q7" s="39" t="n">
        <v>6</v>
      </c>
      <c r="R7" s="39" t="n">
        <v>7</v>
      </c>
      <c r="S7" s="36">
        <f>D7*'Matriz Criterios'!H$48 + E7*'Matriz Criterios'!I$48 + F7*'Matriz Criterios'!J$48 + G7*'Matriz Criterios'!K$48 + H7*'Matriz Criterios'!L$48 + I7*'Matriz Criterios'!M$48 + J7*'Matriz Criterios'!N$48</f>
        <v/>
      </c>
      <c r="T7" s="37">
        <f>K7*'Matriz Criterios'!O$48 + L7*'Matriz Criterios'!P$48 + M7*'Matriz Criterios'!Q$48 + N7*'Matriz Criterios'!R$48 + O7*'Matriz Criterios'!S$48 + P7*'Matriz Criterios'!T$48 + Q7*'Matriz Criterios'!U$48 + R7*'Matriz Criterios'!V$48</f>
        <v/>
      </c>
    </row>
    <row r="8" ht="20" customHeight="1">
      <c r="A8" s="13" t="n">
        <v>3</v>
      </c>
      <c r="B8" s="34" t="inlineStr">
        <is>
          <t>Castillo Morales, Elena</t>
        </is>
      </c>
      <c r="C8" s="13" t="inlineStr">
        <is>
          <t>2º DAM</t>
        </is>
      </c>
      <c r="D8" s="35" t="n">
        <v>9.5</v>
      </c>
      <c r="E8" s="35" t="n">
        <v>9</v>
      </c>
      <c r="F8" s="35" t="n">
        <v>10</v>
      </c>
      <c r="G8" s="35" t="n">
        <v>9.5</v>
      </c>
      <c r="H8" s="35" t="n">
        <v>10</v>
      </c>
      <c r="I8" s="35" t="n">
        <v>9.5</v>
      </c>
      <c r="J8" s="35" t="n">
        <v>10</v>
      </c>
      <c r="K8" s="35" t="n">
        <v>10</v>
      </c>
      <c r="L8" s="35" t="n">
        <v>9.5</v>
      </c>
      <c r="M8" s="35" t="n">
        <v>9.5</v>
      </c>
      <c r="N8" s="35" t="n">
        <v>10</v>
      </c>
      <c r="O8" s="35" t="n">
        <v>9.5</v>
      </c>
      <c r="P8" s="35" t="n">
        <v>10</v>
      </c>
      <c r="Q8" s="35" t="n">
        <v>10</v>
      </c>
      <c r="R8" s="35" t="n">
        <v>10</v>
      </c>
      <c r="S8" s="36">
        <f>D8*'Matriz Criterios'!H$48 + E8*'Matriz Criterios'!I$48 + F8*'Matriz Criterios'!J$48 + G8*'Matriz Criterios'!K$48 + H8*'Matriz Criterios'!L$48 + I8*'Matriz Criterios'!M$48 + J8*'Matriz Criterios'!N$48</f>
        <v/>
      </c>
      <c r="T8" s="37">
        <f>K8*'Matriz Criterios'!O$48 + L8*'Matriz Criterios'!P$48 + M8*'Matriz Criterios'!Q$48 + N8*'Matriz Criterios'!R$48 + O8*'Matriz Criterios'!S$48 + P8*'Matriz Criterios'!T$48 + Q8*'Matriz Criterios'!U$48 + R8*'Matriz Criterios'!V$48</f>
        <v/>
      </c>
    </row>
    <row r="9" ht="20" customHeight="1">
      <c r="A9" s="21" t="n">
        <v>4</v>
      </c>
      <c r="B9" s="38" t="inlineStr">
        <is>
          <t>Delgado Santos, Alejandro</t>
        </is>
      </c>
      <c r="C9" s="21" t="inlineStr">
        <is>
          <t>2º DAM</t>
        </is>
      </c>
      <c r="D9" s="39" t="n">
        <v>4</v>
      </c>
      <c r="E9" s="39" t="n">
        <v>5</v>
      </c>
      <c r="F9" s="39" t="n">
        <v>4.5</v>
      </c>
      <c r="G9" s="39" t="n">
        <v>5.5</v>
      </c>
      <c r="H9" s="39" t="n">
        <v>4</v>
      </c>
      <c r="I9" s="39" t="n">
        <v>4.5</v>
      </c>
      <c r="J9" s="39" t="n">
        <v>6</v>
      </c>
      <c r="K9" s="39" t="n">
        <v>5</v>
      </c>
      <c r="L9" s="39" t="n">
        <v>4.5</v>
      </c>
      <c r="M9" s="39" t="n">
        <v>5</v>
      </c>
      <c r="N9" s="39" t="n">
        <v>4.5</v>
      </c>
      <c r="O9" s="39" t="n">
        <v>5</v>
      </c>
      <c r="P9" s="39" t="n">
        <v>4.5</v>
      </c>
      <c r="Q9" s="39" t="n">
        <v>4</v>
      </c>
      <c r="R9" s="39" t="n">
        <v>5</v>
      </c>
      <c r="S9" s="36">
        <f>D9*'Matriz Criterios'!H$48 + E9*'Matriz Criterios'!I$48 + F9*'Matriz Criterios'!J$48 + G9*'Matriz Criterios'!K$48 + H9*'Matriz Criterios'!L$48 + I9*'Matriz Criterios'!M$48 + J9*'Matriz Criterios'!N$48</f>
        <v/>
      </c>
      <c r="T9" s="37">
        <f>K9*'Matriz Criterios'!O$48 + L9*'Matriz Criterios'!P$48 + M9*'Matriz Criterios'!Q$48 + N9*'Matriz Criterios'!R$48 + O9*'Matriz Criterios'!S$48 + P9*'Matriz Criterios'!T$48 + Q9*'Matriz Criterios'!U$48 + R9*'Matriz Criterios'!V$48</f>
        <v/>
      </c>
    </row>
    <row r="10" ht="20" customHeight="1">
      <c r="A10" s="13" t="n">
        <v>5</v>
      </c>
      <c r="B10" s="34" t="inlineStr">
        <is>
          <t>Fernández Navarro, Lucía</t>
        </is>
      </c>
      <c r="C10" s="13" t="inlineStr">
        <is>
          <t>2º DAM</t>
        </is>
      </c>
      <c r="D10" s="35" t="n">
        <v>7.5</v>
      </c>
      <c r="E10" s="35" t="n">
        <v>8</v>
      </c>
      <c r="F10" s="35" t="n">
        <v>7</v>
      </c>
      <c r="G10" s="35" t="n">
        <v>7.5</v>
      </c>
      <c r="H10" s="35" t="n">
        <v>8</v>
      </c>
      <c r="I10" s="35" t="n">
        <v>7.5</v>
      </c>
      <c r="J10" s="35" t="n">
        <v>8.5</v>
      </c>
      <c r="K10" s="35" t="n">
        <v>7.5</v>
      </c>
      <c r="L10" s="35" t="n">
        <v>8</v>
      </c>
      <c r="M10" s="35" t="n">
        <v>8</v>
      </c>
      <c r="N10" s="35" t="n">
        <v>7.5</v>
      </c>
      <c r="O10" s="35" t="n">
        <v>8</v>
      </c>
      <c r="P10" s="35" t="n">
        <v>7.5</v>
      </c>
      <c r="Q10" s="35" t="n">
        <v>8</v>
      </c>
      <c r="R10" s="35" t="n">
        <v>8.5</v>
      </c>
      <c r="S10" s="36">
        <f>D10*'Matriz Criterios'!H$48 + E10*'Matriz Criterios'!I$48 + F10*'Matriz Criterios'!J$48 + G10*'Matriz Criterios'!K$48 + H10*'Matriz Criterios'!L$48 + I10*'Matriz Criterios'!M$48 + J10*'Matriz Criterios'!N$48</f>
        <v/>
      </c>
      <c r="T10" s="37">
        <f>K10*'Matriz Criterios'!O$48 + L10*'Matriz Criterios'!P$48 + M10*'Matriz Criterios'!Q$48 + N10*'Matriz Criterios'!R$48 + O10*'Matriz Criterios'!S$48 + P10*'Matriz Criterios'!T$48 + Q10*'Matriz Criterios'!U$48 + R10*'Matriz Criterios'!V$48</f>
        <v/>
      </c>
    </row>
    <row r="11" ht="20" customHeight="1">
      <c r="A11" s="21" t="n">
        <v>6</v>
      </c>
      <c r="B11" s="38" t="inlineStr">
        <is>
          <t>García Serrano, David</t>
        </is>
      </c>
      <c r="C11" s="21" t="inlineStr">
        <is>
          <t>2º DAM</t>
        </is>
      </c>
      <c r="D11" s="39" t="n">
        <v>8</v>
      </c>
      <c r="E11" s="39" t="n">
        <v>7.5</v>
      </c>
      <c r="F11" s="39" t="n">
        <v>8.5</v>
      </c>
      <c r="G11" s="39" t="n">
        <v>8</v>
      </c>
      <c r="H11" s="39" t="n">
        <v>8.5</v>
      </c>
      <c r="I11" s="39" t="n">
        <v>8</v>
      </c>
      <c r="J11" s="39" t="n">
        <v>8.5</v>
      </c>
      <c r="K11" s="39" t="n">
        <v>8</v>
      </c>
      <c r="L11" s="39" t="n">
        <v>8.5</v>
      </c>
      <c r="M11" s="39" t="n">
        <v>8</v>
      </c>
      <c r="N11" s="39" t="n">
        <v>8.5</v>
      </c>
      <c r="O11" s="39" t="n">
        <v>8</v>
      </c>
      <c r="P11" s="39" t="n">
        <v>8.5</v>
      </c>
      <c r="Q11" s="39" t="n">
        <v>8</v>
      </c>
      <c r="R11" s="39" t="n">
        <v>8.5</v>
      </c>
      <c r="S11" s="36">
        <f>D11*'Matriz Criterios'!H$48 + E11*'Matriz Criterios'!I$48 + F11*'Matriz Criterios'!J$48 + G11*'Matriz Criterios'!K$48 + H11*'Matriz Criterios'!L$48 + I11*'Matriz Criterios'!M$48 + J11*'Matriz Criterios'!N$48</f>
        <v/>
      </c>
      <c r="T11" s="37">
        <f>K11*'Matriz Criterios'!O$48 + L11*'Matriz Criterios'!P$48 + M11*'Matriz Criterios'!Q$48 + N11*'Matriz Criterios'!R$48 + O11*'Matriz Criterios'!S$48 + P11*'Matriz Criterios'!T$48 + Q11*'Matriz Criterios'!U$48 + R11*'Matriz Criterios'!V$48</f>
        <v/>
      </c>
    </row>
    <row r="12" ht="20" customHeight="1">
      <c r="A12" s="13" t="n">
        <v>7</v>
      </c>
      <c r="B12" s="34" t="inlineStr">
        <is>
          <t>Herrera Cruz, Marta</t>
        </is>
      </c>
      <c r="C12" s="13" t="inlineStr">
        <is>
          <t>2º DAM</t>
        </is>
      </c>
      <c r="D12" s="35" t="n">
        <v>9</v>
      </c>
      <c r="E12" s="35" t="n">
        <v>8.5</v>
      </c>
      <c r="F12" s="35" t="n">
        <v>9.5</v>
      </c>
      <c r="G12" s="35" t="n">
        <v>9</v>
      </c>
      <c r="H12" s="35" t="n">
        <v>9</v>
      </c>
      <c r="I12" s="35" t="n">
        <v>9</v>
      </c>
      <c r="J12" s="35" t="n">
        <v>9.5</v>
      </c>
      <c r="K12" s="35" t="n">
        <v>9</v>
      </c>
      <c r="L12" s="35" t="n">
        <v>9.5</v>
      </c>
      <c r="M12" s="35" t="n">
        <v>9</v>
      </c>
      <c r="N12" s="35" t="n">
        <v>9.5</v>
      </c>
      <c r="O12" s="35" t="n">
        <v>9</v>
      </c>
      <c r="P12" s="35" t="n">
        <v>9.5</v>
      </c>
      <c r="Q12" s="35" t="n">
        <v>9</v>
      </c>
      <c r="R12" s="35" t="n">
        <v>9.5</v>
      </c>
      <c r="S12" s="36">
        <f>D12*'Matriz Criterios'!H$48 + E12*'Matriz Criterios'!I$48 + F12*'Matriz Criterios'!J$48 + G12*'Matriz Criterios'!K$48 + H12*'Matriz Criterios'!L$48 + I12*'Matriz Criterios'!M$48 + J12*'Matriz Criterios'!N$48</f>
        <v/>
      </c>
      <c r="T12" s="37">
        <f>K12*'Matriz Criterios'!O$48 + L12*'Matriz Criterios'!P$48 + M12*'Matriz Criterios'!Q$48 + N12*'Matriz Criterios'!R$48 + O12*'Matriz Criterios'!S$48 + P12*'Matriz Criterios'!T$48 + Q12*'Matriz Criterios'!U$48 + R12*'Matriz Criterios'!V$48</f>
        <v/>
      </c>
    </row>
    <row r="13" ht="20" customHeight="1">
      <c r="A13" s="21" t="n">
        <v>8</v>
      </c>
      <c r="B13" s="38" t="inlineStr">
        <is>
          <t>Jiménez Ortiz, Pablo</t>
        </is>
      </c>
      <c r="C13" s="21" t="inlineStr">
        <is>
          <t>2º DAM</t>
        </is>
      </c>
      <c r="D13" s="39" t="n">
        <v>5</v>
      </c>
      <c r="E13" s="39" t="n">
        <v>6</v>
      </c>
      <c r="F13" s="39" t="n">
        <v>5.5</v>
      </c>
      <c r="G13" s="39" t="n">
        <v>5</v>
      </c>
      <c r="H13" s="39" t="n">
        <v>6</v>
      </c>
      <c r="I13" s="39" t="n">
        <v>5.5</v>
      </c>
      <c r="J13" s="39" t="n">
        <v>6.5</v>
      </c>
      <c r="K13" s="39" t="n">
        <v>5.5</v>
      </c>
      <c r="L13" s="39" t="n">
        <v>6</v>
      </c>
      <c r="M13" s="39" t="n">
        <v>5.5</v>
      </c>
      <c r="N13" s="39" t="n">
        <v>6</v>
      </c>
      <c r="O13" s="39" t="n">
        <v>5.5</v>
      </c>
      <c r="P13" s="39" t="n">
        <v>6</v>
      </c>
      <c r="Q13" s="39" t="n">
        <v>5.5</v>
      </c>
      <c r="R13" s="39" t="n">
        <v>6.5</v>
      </c>
      <c r="S13" s="36">
        <f>D13*'Matriz Criterios'!H$48 + E13*'Matriz Criterios'!I$48 + F13*'Matriz Criterios'!J$48 + G13*'Matriz Criterios'!K$48 + H13*'Matriz Criterios'!L$48 + I13*'Matriz Criterios'!M$48 + J13*'Matriz Criterios'!N$48</f>
        <v/>
      </c>
      <c r="T13" s="37">
        <f>K13*'Matriz Criterios'!O$48 + L13*'Matriz Criterios'!P$48 + M13*'Matriz Criterios'!Q$48 + N13*'Matriz Criterios'!R$48 + O13*'Matriz Criterios'!S$48 + P13*'Matriz Criterios'!T$48 + Q13*'Matriz Criterios'!U$48 + R13*'Matriz Criterios'!V$48</f>
        <v/>
      </c>
    </row>
    <row r="14" ht="20" customHeight="1">
      <c r="A14" s="13" t="n">
        <v>9</v>
      </c>
      <c r="B14" s="34" t="inlineStr">
        <is>
          <t>López Molina, Sara</t>
        </is>
      </c>
      <c r="C14" s="13" t="inlineStr">
        <is>
          <t>2º DAM</t>
        </is>
      </c>
      <c r="D14" s="35" t="n">
        <v>10</v>
      </c>
      <c r="E14" s="35" t="n">
        <v>9.5</v>
      </c>
      <c r="F14" s="35" t="n">
        <v>9.5</v>
      </c>
      <c r="G14" s="35" t="n">
        <v>10</v>
      </c>
      <c r="H14" s="35" t="n">
        <v>9.5</v>
      </c>
      <c r="I14" s="35" t="n">
        <v>10</v>
      </c>
      <c r="J14" s="35" t="n">
        <v>10</v>
      </c>
      <c r="K14" s="35" t="n">
        <v>10</v>
      </c>
      <c r="L14" s="35" t="n">
        <v>9.5</v>
      </c>
      <c r="M14" s="35" t="n">
        <v>10</v>
      </c>
      <c r="N14" s="35" t="n">
        <v>10</v>
      </c>
      <c r="O14" s="35" t="n">
        <v>9.5</v>
      </c>
      <c r="P14" s="35" t="n">
        <v>10</v>
      </c>
      <c r="Q14" s="35" t="n">
        <v>10</v>
      </c>
      <c r="R14" s="35" t="n">
        <v>10</v>
      </c>
      <c r="S14" s="36">
        <f>D14*'Matriz Criterios'!H$48 + E14*'Matriz Criterios'!I$48 + F14*'Matriz Criterios'!J$48 + G14*'Matriz Criterios'!K$48 + H14*'Matriz Criterios'!L$48 + I14*'Matriz Criterios'!M$48 + J14*'Matriz Criterios'!N$48</f>
        <v/>
      </c>
      <c r="T14" s="37">
        <f>K14*'Matriz Criterios'!O$48 + L14*'Matriz Criterios'!P$48 + M14*'Matriz Criterios'!Q$48 + N14*'Matriz Criterios'!R$48 + O14*'Matriz Criterios'!S$48 + P14*'Matriz Criterios'!T$48 + Q14*'Matriz Criterios'!U$48 + R14*'Matriz Criterios'!V$48</f>
        <v/>
      </c>
    </row>
    <row r="15" ht="20" customHeight="1">
      <c r="A15" s="21" t="n">
        <v>10</v>
      </c>
      <c r="B15" s="38" t="inlineStr">
        <is>
          <t>Martín Vega, Javier</t>
        </is>
      </c>
      <c r="C15" s="21" t="inlineStr">
        <is>
          <t>2º DAM</t>
        </is>
      </c>
      <c r="D15" s="39" t="n">
        <v>3.5</v>
      </c>
      <c r="E15" s="39" t="n">
        <v>4</v>
      </c>
      <c r="F15" s="39" t="n">
        <v>4</v>
      </c>
      <c r="G15" s="39" t="n">
        <v>4.5</v>
      </c>
      <c r="H15" s="39" t="n">
        <v>4</v>
      </c>
      <c r="I15" s="39" t="n">
        <v>3.5</v>
      </c>
      <c r="J15" s="39" t="n">
        <v>5</v>
      </c>
      <c r="K15" s="39" t="n">
        <v>4</v>
      </c>
      <c r="L15" s="39" t="n">
        <v>4.5</v>
      </c>
      <c r="M15" s="39" t="n">
        <v>4</v>
      </c>
      <c r="N15" s="39" t="n">
        <v>4</v>
      </c>
      <c r="O15" s="39" t="n">
        <v>4.5</v>
      </c>
      <c r="P15" s="39" t="n">
        <v>4</v>
      </c>
      <c r="Q15" s="39" t="n">
        <v>4</v>
      </c>
      <c r="R15" s="39" t="n">
        <v>4.5</v>
      </c>
      <c r="S15" s="36">
        <f>D15*'Matriz Criterios'!H$48 + E15*'Matriz Criterios'!I$48 + F15*'Matriz Criterios'!J$48 + G15*'Matriz Criterios'!K$48 + H15*'Matriz Criterios'!L$48 + I15*'Matriz Criterios'!M$48 + J15*'Matriz Criterios'!N$48</f>
        <v/>
      </c>
      <c r="T15" s="37">
        <f>K15*'Matriz Criterios'!O$48 + L15*'Matriz Criterios'!P$48 + M15*'Matriz Criterios'!Q$48 + N15*'Matriz Criterios'!R$48 + O15*'Matriz Criterios'!S$48 + P15*'Matriz Criterios'!T$48 + Q15*'Matriz Criterios'!U$48 + R15*'Matriz Criterios'!V$48</f>
        <v/>
      </c>
    </row>
    <row r="16" ht="20" customHeight="1">
      <c r="A16" s="13" t="n">
        <v>11</v>
      </c>
      <c r="B16" s="34" t="inlineStr">
        <is>
          <t>Navarro Gil, Ana</t>
        </is>
      </c>
      <c r="C16" s="13" t="inlineStr">
        <is>
          <t>2º DAM</t>
        </is>
      </c>
      <c r="D16" s="35" t="n">
        <v>8</v>
      </c>
      <c r="E16" s="35" t="n">
        <v>8.5</v>
      </c>
      <c r="F16" s="35" t="n">
        <v>8</v>
      </c>
      <c r="G16" s="35" t="n">
        <v>8.5</v>
      </c>
      <c r="H16" s="35" t="n">
        <v>8</v>
      </c>
      <c r="I16" s="35" t="n">
        <v>8.5</v>
      </c>
      <c r="J16" s="35" t="n">
        <v>9</v>
      </c>
      <c r="K16" s="35" t="n">
        <v>8.5</v>
      </c>
      <c r="L16" s="35" t="n">
        <v>8</v>
      </c>
      <c r="M16" s="35" t="n">
        <v>8.5</v>
      </c>
      <c r="N16" s="35" t="n">
        <v>8.5</v>
      </c>
      <c r="O16" s="35" t="n">
        <v>8</v>
      </c>
      <c r="P16" s="35" t="n">
        <v>8.5</v>
      </c>
      <c r="Q16" s="35" t="n">
        <v>8.5</v>
      </c>
      <c r="R16" s="35" t="n">
        <v>9</v>
      </c>
      <c r="S16" s="36">
        <f>D16*'Matriz Criterios'!H$48 + E16*'Matriz Criterios'!I$48 + F16*'Matriz Criterios'!J$48 + G16*'Matriz Criterios'!K$48 + H16*'Matriz Criterios'!L$48 + I16*'Matriz Criterios'!M$48 + J16*'Matriz Criterios'!N$48</f>
        <v/>
      </c>
      <c r="T16" s="37">
        <f>K16*'Matriz Criterios'!O$48 + L16*'Matriz Criterios'!P$48 + M16*'Matriz Criterios'!Q$48 + N16*'Matriz Criterios'!R$48 + O16*'Matriz Criterios'!S$48 + P16*'Matriz Criterios'!T$48 + Q16*'Matriz Criterios'!U$48 + R16*'Matriz Criterios'!V$48</f>
        <v/>
      </c>
    </row>
    <row r="17" ht="20" customHeight="1">
      <c r="A17" s="21" t="n">
        <v>12</v>
      </c>
      <c r="B17" s="38" t="inlineStr">
        <is>
          <t>Pérez Rubio, Álvaro</t>
        </is>
      </c>
      <c r="C17" s="21" t="inlineStr">
        <is>
          <t>2º DAM</t>
        </is>
      </c>
      <c r="D17" s="39" t="n">
        <v>7</v>
      </c>
      <c r="E17" s="39" t="n">
        <v>6.5</v>
      </c>
      <c r="F17" s="39" t="n">
        <v>7.5</v>
      </c>
      <c r="G17" s="39" t="n">
        <v>7</v>
      </c>
      <c r="H17" s="39" t="n">
        <v>7</v>
      </c>
      <c r="I17" s="39" t="n">
        <v>7</v>
      </c>
      <c r="J17" s="39" t="n">
        <v>7.5</v>
      </c>
      <c r="K17" s="39" t="n">
        <v>7.5</v>
      </c>
      <c r="L17" s="39" t="n">
        <v>7</v>
      </c>
      <c r="M17" s="39" t="n">
        <v>7.5</v>
      </c>
      <c r="N17" s="39" t="n">
        <v>7</v>
      </c>
      <c r="O17" s="39" t="n">
        <v>7.5</v>
      </c>
      <c r="P17" s="39" t="n">
        <v>7</v>
      </c>
      <c r="Q17" s="39" t="n">
        <v>7.5</v>
      </c>
      <c r="R17" s="39" t="n">
        <v>7.5</v>
      </c>
      <c r="S17" s="36">
        <f>D17*'Matriz Criterios'!H$48 + E17*'Matriz Criterios'!I$48 + F17*'Matriz Criterios'!J$48 + G17*'Matriz Criterios'!K$48 + H17*'Matriz Criterios'!L$48 + I17*'Matriz Criterios'!M$48 + J17*'Matriz Criterios'!N$48</f>
        <v/>
      </c>
      <c r="T17" s="37">
        <f>K17*'Matriz Criterios'!O$48 + L17*'Matriz Criterios'!P$48 + M17*'Matriz Criterios'!Q$48 + N17*'Matriz Criterios'!R$48 + O17*'Matriz Criterios'!S$48 + P17*'Matriz Criterios'!T$48 + Q17*'Matriz Criterios'!U$48 + R17*'Matriz Criterios'!V$48</f>
        <v/>
      </c>
    </row>
    <row r="18" ht="20" customHeight="1">
      <c r="A18" s="13" t="n">
        <v>13</v>
      </c>
      <c r="B18" s="34" t="inlineStr">
        <is>
          <t>Ramírez Soto, Carmen</t>
        </is>
      </c>
      <c r="C18" s="13" t="inlineStr">
        <is>
          <t>2º DAM</t>
        </is>
      </c>
      <c r="D18" s="35" t="n">
        <v>6.5</v>
      </c>
      <c r="E18" s="35" t="n">
        <v>7</v>
      </c>
      <c r="F18" s="35" t="n">
        <v>6</v>
      </c>
      <c r="G18" s="35" t="n">
        <v>6.5</v>
      </c>
      <c r="H18" s="35" t="n">
        <v>7</v>
      </c>
      <c r="I18" s="35" t="n">
        <v>6.5</v>
      </c>
      <c r="J18" s="35" t="n">
        <v>7</v>
      </c>
      <c r="K18" s="35" t="n">
        <v>7</v>
      </c>
      <c r="L18" s="35" t="n">
        <v>6.5</v>
      </c>
      <c r="M18" s="35" t="n">
        <v>7</v>
      </c>
      <c r="N18" s="35" t="n">
        <v>6.5</v>
      </c>
      <c r="O18" s="35" t="n">
        <v>7</v>
      </c>
      <c r="P18" s="35" t="n">
        <v>6.5</v>
      </c>
      <c r="Q18" s="35" t="n">
        <v>7</v>
      </c>
      <c r="R18" s="35" t="n">
        <v>7</v>
      </c>
      <c r="S18" s="36">
        <f>D18*'Matriz Criterios'!H$48 + E18*'Matriz Criterios'!I$48 + F18*'Matriz Criterios'!J$48 + G18*'Matriz Criterios'!K$48 + H18*'Matriz Criterios'!L$48 + I18*'Matriz Criterios'!M$48 + J18*'Matriz Criterios'!N$48</f>
        <v/>
      </c>
      <c r="T18" s="37">
        <f>K18*'Matriz Criterios'!O$48 + L18*'Matriz Criterios'!P$48 + M18*'Matriz Criterios'!Q$48 + N18*'Matriz Criterios'!R$48 + O18*'Matriz Criterios'!S$48 + P18*'Matriz Criterios'!T$48 + Q18*'Matriz Criterios'!U$48 + R18*'Matriz Criterios'!V$48</f>
        <v/>
      </c>
    </row>
    <row r="19" ht="20" customHeight="1">
      <c r="A19" s="21" t="n">
        <v>14</v>
      </c>
      <c r="B19" s="38" t="inlineStr">
        <is>
          <t>Sánchez Vidal, Daniel</t>
        </is>
      </c>
      <c r="C19" s="21" t="inlineStr">
        <is>
          <t>2º DAM</t>
        </is>
      </c>
      <c r="D19" s="39" t="n">
        <v>8.5</v>
      </c>
      <c r="E19" s="39" t="n">
        <v>9</v>
      </c>
      <c r="F19" s="39" t="n">
        <v>8.5</v>
      </c>
      <c r="G19" s="39" t="n">
        <v>9</v>
      </c>
      <c r="H19" s="39" t="n">
        <v>8.5</v>
      </c>
      <c r="I19" s="39" t="n">
        <v>9</v>
      </c>
      <c r="J19" s="39" t="n">
        <v>9.5</v>
      </c>
      <c r="K19" s="39" t="n">
        <v>9</v>
      </c>
      <c r="L19" s="39" t="n">
        <v>8.5</v>
      </c>
      <c r="M19" s="39" t="n">
        <v>9</v>
      </c>
      <c r="N19" s="39" t="n">
        <v>9</v>
      </c>
      <c r="O19" s="39" t="n">
        <v>8.5</v>
      </c>
      <c r="P19" s="39" t="n">
        <v>9</v>
      </c>
      <c r="Q19" s="39" t="n">
        <v>9</v>
      </c>
      <c r="R19" s="39" t="n">
        <v>9.5</v>
      </c>
      <c r="S19" s="36">
        <f>D19*'Matriz Criterios'!H$48 + E19*'Matriz Criterios'!I$48 + F19*'Matriz Criterios'!J$48 + G19*'Matriz Criterios'!K$48 + H19*'Matriz Criterios'!L$48 + I19*'Matriz Criterios'!M$48 + J19*'Matriz Criterios'!N$48</f>
        <v/>
      </c>
      <c r="T19" s="37">
        <f>K19*'Matriz Criterios'!O$48 + L19*'Matriz Criterios'!P$48 + M19*'Matriz Criterios'!Q$48 + N19*'Matriz Criterios'!R$48 + O19*'Matriz Criterios'!S$48 + P19*'Matriz Criterios'!T$48 + Q19*'Matriz Criterios'!U$48 + R19*'Matriz Criterios'!V$48</f>
        <v/>
      </c>
    </row>
    <row r="20" ht="20" customHeight="1">
      <c r="A20" s="13" t="n">
        <v>15</v>
      </c>
      <c r="B20" s="34" t="inlineStr">
        <is>
          <t>Torres Lozano, Irene</t>
        </is>
      </c>
      <c r="C20" s="13" t="inlineStr">
        <is>
          <t>2º DAM</t>
        </is>
      </c>
      <c r="D20" s="35" t="n">
        <v>9</v>
      </c>
      <c r="E20" s="35" t="n">
        <v>9.5</v>
      </c>
      <c r="F20" s="35" t="n">
        <v>9</v>
      </c>
      <c r="G20" s="35" t="n">
        <v>9.5</v>
      </c>
      <c r="H20" s="35" t="n">
        <v>9</v>
      </c>
      <c r="I20" s="35" t="n">
        <v>9.5</v>
      </c>
      <c r="J20" s="35" t="n">
        <v>9.5</v>
      </c>
      <c r="K20" s="35" t="n">
        <v>9.5</v>
      </c>
      <c r="L20" s="35" t="n">
        <v>9</v>
      </c>
      <c r="M20" s="35" t="n">
        <v>9.5</v>
      </c>
      <c r="N20" s="35" t="n">
        <v>10</v>
      </c>
      <c r="O20" s="35" t="n">
        <v>9.5</v>
      </c>
      <c r="P20" s="35" t="n">
        <v>9.5</v>
      </c>
      <c r="Q20" s="35" t="n">
        <v>9.5</v>
      </c>
      <c r="R20" s="35" t="n">
        <v>10</v>
      </c>
      <c r="S20" s="36">
        <f>D20*'Matriz Criterios'!H$48 + E20*'Matriz Criterios'!I$48 + F20*'Matriz Criterios'!J$48 + G20*'Matriz Criterios'!K$48 + H20*'Matriz Criterios'!L$48 + I20*'Matriz Criterios'!M$48 + J20*'Matriz Criterios'!N$48</f>
        <v/>
      </c>
      <c r="T20" s="37">
        <f>K20*'Matriz Criterios'!O$48 + L20*'Matriz Criterios'!P$48 + M20*'Matriz Criterios'!Q$48 + N20*'Matriz Criterios'!R$48 + O20*'Matriz Criterios'!S$48 + P20*'Matriz Criterios'!T$48 + Q20*'Matriz Criterios'!U$48 + R20*'Matriz Criterios'!V$48</f>
        <v/>
      </c>
    </row>
    <row r="21" ht="24" customHeight="1">
      <c r="A21" s="40" t="inlineStr">
        <is>
          <t>PROMEDIO DEL GRUPO</t>
        </is>
      </c>
      <c r="B21" s="41" t="n"/>
      <c r="C21" s="41" t="n"/>
      <c r="D21" s="42">
        <f>AVERAGE(D6:D20)</f>
        <v/>
      </c>
      <c r="E21" s="42">
        <f>AVERAGE(E6:E20)</f>
        <v/>
      </c>
      <c r="F21" s="42">
        <f>AVERAGE(F6:F20)</f>
        <v/>
      </c>
      <c r="G21" s="42">
        <f>AVERAGE(G6:G20)</f>
        <v/>
      </c>
      <c r="H21" s="42">
        <f>AVERAGE(H6:H20)</f>
        <v/>
      </c>
      <c r="I21" s="42">
        <f>AVERAGE(I6:I20)</f>
        <v/>
      </c>
      <c r="J21" s="42">
        <f>AVERAGE(J6:J20)</f>
        <v/>
      </c>
      <c r="K21" s="42">
        <f>AVERAGE(K6:K20)</f>
        <v/>
      </c>
      <c r="L21" s="42">
        <f>AVERAGE(L6:L20)</f>
        <v/>
      </c>
      <c r="M21" s="42">
        <f>AVERAGE(M6:M20)</f>
        <v/>
      </c>
      <c r="N21" s="42">
        <f>AVERAGE(N6:N20)</f>
        <v/>
      </c>
      <c r="O21" s="42">
        <f>AVERAGE(O6:O20)</f>
        <v/>
      </c>
      <c r="P21" s="42">
        <f>AVERAGE(P6:P20)</f>
        <v/>
      </c>
      <c r="Q21" s="42">
        <f>AVERAGE(Q6:Q20)</f>
        <v/>
      </c>
      <c r="R21" s="42">
        <f>AVERAGE(R6:R20)</f>
        <v/>
      </c>
      <c r="S21" s="42">
        <f>AVERAGE(S6:S20)</f>
        <v/>
      </c>
      <c r="T21" s="42">
        <f>AVERAGE(T6:T20)</f>
        <v/>
      </c>
    </row>
  </sheetData>
  <mergeCells count="7">
    <mergeCell ref="A1:T1"/>
    <mergeCell ref="K4:R4"/>
    <mergeCell ref="D4:J4"/>
    <mergeCell ref="A2:T2"/>
    <mergeCell ref="A21:C21"/>
    <mergeCell ref="A4:C4"/>
    <mergeCell ref="S4:T4"/>
  </mergeCells>
  <conditionalFormatting sqref="S6:T20">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21"/>
  <sheetViews>
    <sheetView showGridLines="1" workbookViewId="0">
      <selection activeCell="A1" sqref="A1"/>
    </sheetView>
  </sheetViews>
  <sheetFormatPr baseColWidth="8" defaultRowHeight="15"/>
  <cols>
    <col width="5" customWidth="1" min="1" max="1"/>
    <col width="24"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12" customWidth="1" min="43" max="43"/>
    <col width="12" customWidth="1" min="44" max="44"/>
  </cols>
  <sheetData>
    <row r="1" ht="36" customHeight="1">
      <c r="A1" s="1" t="inlineStr">
        <is>
          <t>CALIFICACIÓN DETALLADA POR CRITERIOS DE EVALUACIÓN (CE1.a a CE8.e) — DESARROLLO DE INTERFACES</t>
        </is>
      </c>
    </row>
    <row r="2" ht="20" customHeight="1">
      <c r="A2" s="2" t="inlineStr">
        <is>
          <t>Cálculo matemático automático: cada criterio se calcula promediando exclusivamente las tareas donde tiene marcada una 'X' en la 'Matriz Criterios'.</t>
        </is>
      </c>
    </row>
    <row r="4">
      <c r="A4" s="3" t="inlineStr">
        <is>
          <t>ALUMNADO</t>
        </is>
      </c>
      <c r="C4" s="4" t="inlineStr">
        <is>
          <t>RA1 (22%) — Interfaces Gráficas, UX, Figma y Layouts</t>
        </is>
      </c>
      <c r="I4" s="5" t="inlineStr">
        <is>
          <t>RA2 (16%) — Interfaces Naturales (NUI, Voz, Gestos)</t>
        </is>
      </c>
      <c r="N4" s="6" t="inlineStr">
        <is>
          <t>RA3 (20%) — Componentes Angular Standalone y Forms</t>
        </is>
      </c>
      <c r="T4" s="43" t="inlineStr">
        <is>
          <t>RA4 (11%) — Accesibilidad Universal y WCAG 2.2</t>
        </is>
      </c>
      <c r="Y4" s="44" t="inlineStr">
        <is>
          <t>RA5 (4%) — Informes y Cuadros Mando</t>
        </is>
      </c>
      <c r="AC4" s="45" t="inlineStr">
        <is>
          <t>RA6 (7%) — Documentación Técnica y Storybook</t>
        </is>
      </c>
      <c r="AG4" s="4" t="inlineStr">
        <is>
          <t>RA7 (10%) — Escritorio Electron y Empaquetado</t>
        </is>
      </c>
      <c r="AL4" s="5" t="inlineStr">
        <is>
          <t>RA8 (10%) — Pruebas Vitest y Playwright E2E</t>
        </is>
      </c>
      <c r="AQ4" s="3" t="inlineStr">
        <is>
          <t>RESUMEN DE CRITERIOS</t>
        </is>
      </c>
    </row>
    <row r="5" ht="30" customHeight="1">
      <c r="A5" s="32" t="inlineStr">
        <is>
          <t>Nº</t>
        </is>
      </c>
      <c r="B5" s="46" t="inlineStr">
        <is>
          <t>Apellidos, Nombre</t>
        </is>
      </c>
      <c r="C5" s="8" t="inlineStr">
        <is>
          <t>CE1.a</t>
        </is>
      </c>
      <c r="D5" s="8" t="inlineStr">
        <is>
          <t>CE1.b</t>
        </is>
      </c>
      <c r="E5" s="8" t="inlineStr">
        <is>
          <t>CE1.c</t>
        </is>
      </c>
      <c r="F5" s="8" t="inlineStr">
        <is>
          <t>CE1.d</t>
        </is>
      </c>
      <c r="G5" s="8" t="inlineStr">
        <is>
          <t>CE1.e</t>
        </is>
      </c>
      <c r="H5" s="8" t="inlineStr">
        <is>
          <t>CE1.f</t>
        </is>
      </c>
      <c r="I5" s="9" t="inlineStr">
        <is>
          <t>CE2.a</t>
        </is>
      </c>
      <c r="J5" s="9" t="inlineStr">
        <is>
          <t>CE2.b</t>
        </is>
      </c>
      <c r="K5" s="9" t="inlineStr">
        <is>
          <t>CE2.c</t>
        </is>
      </c>
      <c r="L5" s="9" t="inlineStr">
        <is>
          <t>CE2.d</t>
        </is>
      </c>
      <c r="M5" s="9" t="inlineStr">
        <is>
          <t>CE2.e</t>
        </is>
      </c>
      <c r="N5" s="33" t="inlineStr">
        <is>
          <t>CE3.a</t>
        </is>
      </c>
      <c r="O5" s="33" t="inlineStr">
        <is>
          <t>CE3.b</t>
        </is>
      </c>
      <c r="P5" s="33" t="inlineStr">
        <is>
          <t>CE3.c</t>
        </is>
      </c>
      <c r="Q5" s="33" t="inlineStr">
        <is>
          <t>CE3.d</t>
        </is>
      </c>
      <c r="R5" s="33" t="inlineStr">
        <is>
          <t>CE3.e</t>
        </is>
      </c>
      <c r="S5" s="33" t="inlineStr">
        <is>
          <t>CE3.f</t>
        </is>
      </c>
      <c r="T5" s="47" t="inlineStr">
        <is>
          <t>CE4.a</t>
        </is>
      </c>
      <c r="U5" s="47" t="inlineStr">
        <is>
          <t>CE4.b</t>
        </is>
      </c>
      <c r="V5" s="47" t="inlineStr">
        <is>
          <t>CE4.c</t>
        </is>
      </c>
      <c r="W5" s="47" t="inlineStr">
        <is>
          <t>CE4.d</t>
        </is>
      </c>
      <c r="X5" s="47" t="inlineStr">
        <is>
          <t>CE4.e</t>
        </is>
      </c>
      <c r="Y5" s="48" t="inlineStr">
        <is>
          <t>CE5.a</t>
        </is>
      </c>
      <c r="Z5" s="48" t="inlineStr">
        <is>
          <t>CE5.b</t>
        </is>
      </c>
      <c r="AA5" s="48" t="inlineStr">
        <is>
          <t>CE5.c</t>
        </is>
      </c>
      <c r="AB5" s="48" t="inlineStr">
        <is>
          <t>CE5.d</t>
        </is>
      </c>
      <c r="AC5" s="7" t="inlineStr">
        <is>
          <t>CE6.a</t>
        </is>
      </c>
      <c r="AD5" s="7" t="inlineStr">
        <is>
          <t>CE6.b</t>
        </is>
      </c>
      <c r="AE5" s="7" t="inlineStr">
        <is>
          <t>CE6.c</t>
        </is>
      </c>
      <c r="AF5" s="7" t="inlineStr">
        <is>
          <t>CE6.d</t>
        </is>
      </c>
      <c r="AG5" s="8" t="inlineStr">
        <is>
          <t>CE7.a</t>
        </is>
      </c>
      <c r="AH5" s="8" t="inlineStr">
        <is>
          <t>CE7.b</t>
        </is>
      </c>
      <c r="AI5" s="8" t="inlineStr">
        <is>
          <t>CE7.c</t>
        </is>
      </c>
      <c r="AJ5" s="8" t="inlineStr">
        <is>
          <t>CE7.d</t>
        </is>
      </c>
      <c r="AK5" s="8" t="inlineStr">
        <is>
          <t>CE7.e</t>
        </is>
      </c>
      <c r="AL5" s="9" t="inlineStr">
        <is>
          <t>CE8.a</t>
        </is>
      </c>
      <c r="AM5" s="9" t="inlineStr">
        <is>
          <t>CE8.b</t>
        </is>
      </c>
      <c r="AN5" s="9" t="inlineStr">
        <is>
          <t>CE8.c</t>
        </is>
      </c>
      <c r="AO5" s="9" t="inlineStr">
        <is>
          <t>CE8.d</t>
        </is>
      </c>
      <c r="AP5" s="9" t="inlineStr">
        <is>
          <t>CE8.e</t>
        </is>
      </c>
      <c r="AQ5" s="32" t="inlineStr">
        <is>
          <t>Media CEs
Superados</t>
        </is>
      </c>
      <c r="AR5" s="32" t="inlineStr">
        <is>
          <t>Nº CEs &gt;= 5
(de 40)</t>
        </is>
      </c>
    </row>
    <row r="6" ht="20" customHeight="1">
      <c r="A6" s="13" t="n">
        <v>1</v>
      </c>
      <c r="B6" s="34" t="inlineStr">
        <is>
          <t>Álvarez Gómez, Laura</t>
        </is>
      </c>
      <c r="C6" s="35">
        <f>IF(SUMPRODUCT(('Matriz Criterios'!$H$6:$V$6="X")*ISNUMBER('Registro Notas'!$D6:$R6))=0, "-", SUMPRODUCT(('Matriz Criterios'!$H$6:$V$6="X")*ISNUMBER('Registro Notas'!$D6:$R6)*'Registro Notas'!$D6:$R6)/SUMPRODUCT(('Matriz Criterios'!$H$6:$V$6="X")*ISNUMBER('Registro Notas'!$D6:$R6)))</f>
        <v/>
      </c>
      <c r="D6" s="35">
        <f>IF(SUMPRODUCT(('Matriz Criterios'!$H$7:$V$7="X")*ISNUMBER('Registro Notas'!$D6:$R6))=0, "-", SUMPRODUCT(('Matriz Criterios'!$H$7:$V$7="X")*ISNUMBER('Registro Notas'!$D6:$R6)*'Registro Notas'!$D6:$R6)/SUMPRODUCT(('Matriz Criterios'!$H$7:$V$7="X")*ISNUMBER('Registro Notas'!$D6:$R6)))</f>
        <v/>
      </c>
      <c r="E6" s="35">
        <f>IF(SUMPRODUCT(('Matriz Criterios'!$H$8:$V$8="X")*ISNUMBER('Registro Notas'!$D6:$R6))=0, "-", SUMPRODUCT(('Matriz Criterios'!$H$8:$V$8="X")*ISNUMBER('Registro Notas'!$D6:$R6)*'Registro Notas'!$D6:$R6)/SUMPRODUCT(('Matriz Criterios'!$H$8:$V$8="X")*ISNUMBER('Registro Notas'!$D6:$R6)))</f>
        <v/>
      </c>
      <c r="F6" s="35">
        <f>IF(SUMPRODUCT(('Matriz Criterios'!$H$9:$V$9="X")*ISNUMBER('Registro Notas'!$D6:$R6))=0, "-", SUMPRODUCT(('Matriz Criterios'!$H$9:$V$9="X")*ISNUMBER('Registro Notas'!$D6:$R6)*'Registro Notas'!$D6:$R6)/SUMPRODUCT(('Matriz Criterios'!$H$9:$V$9="X")*ISNUMBER('Registro Notas'!$D6:$R6)))</f>
        <v/>
      </c>
      <c r="G6" s="35">
        <f>IF(SUMPRODUCT(('Matriz Criterios'!$H$10:$V$10="X")*ISNUMBER('Registro Notas'!$D6:$R6))=0, "-", SUMPRODUCT(('Matriz Criterios'!$H$10:$V$10="X")*ISNUMBER('Registro Notas'!$D6:$R6)*'Registro Notas'!$D6:$R6)/SUMPRODUCT(('Matriz Criterios'!$H$10:$V$10="X")*ISNUMBER('Registro Notas'!$D6:$R6)))</f>
        <v/>
      </c>
      <c r="H6" s="35">
        <f>IF(SUMPRODUCT(('Matriz Criterios'!$H$11:$V$11="X")*ISNUMBER('Registro Notas'!$D6:$R6))=0, "-", SUMPRODUCT(('Matriz Criterios'!$H$11:$V$11="X")*ISNUMBER('Registro Notas'!$D6:$R6)*'Registro Notas'!$D6:$R6)/SUMPRODUCT(('Matriz Criterios'!$H$11:$V$11="X")*ISNUMBER('Registro Notas'!$D6:$R6)))</f>
        <v/>
      </c>
      <c r="I6" s="35">
        <f>IF(SUMPRODUCT(('Matriz Criterios'!$H$12:$V$12="X")*ISNUMBER('Registro Notas'!$D6:$R6))=0, "-", SUMPRODUCT(('Matriz Criterios'!$H$12:$V$12="X")*ISNUMBER('Registro Notas'!$D6:$R6)*'Registro Notas'!$D6:$R6)/SUMPRODUCT(('Matriz Criterios'!$H$12:$V$12="X")*ISNUMBER('Registro Notas'!$D6:$R6)))</f>
        <v/>
      </c>
      <c r="J6" s="35">
        <f>IF(SUMPRODUCT(('Matriz Criterios'!$H$13:$V$13="X")*ISNUMBER('Registro Notas'!$D6:$R6))=0, "-", SUMPRODUCT(('Matriz Criterios'!$H$13:$V$13="X")*ISNUMBER('Registro Notas'!$D6:$R6)*'Registro Notas'!$D6:$R6)/SUMPRODUCT(('Matriz Criterios'!$H$13:$V$13="X")*ISNUMBER('Registro Notas'!$D6:$R6)))</f>
        <v/>
      </c>
      <c r="K6" s="35">
        <f>IF(SUMPRODUCT(('Matriz Criterios'!$H$14:$V$14="X")*ISNUMBER('Registro Notas'!$D6:$R6))=0, "-", SUMPRODUCT(('Matriz Criterios'!$H$14:$V$14="X")*ISNUMBER('Registro Notas'!$D6:$R6)*'Registro Notas'!$D6:$R6)/SUMPRODUCT(('Matriz Criterios'!$H$14:$V$14="X")*ISNUMBER('Registro Notas'!$D6:$R6)))</f>
        <v/>
      </c>
      <c r="L6" s="35">
        <f>IF(SUMPRODUCT(('Matriz Criterios'!$H$15:$V$15="X")*ISNUMBER('Registro Notas'!$D6:$R6))=0, "-", SUMPRODUCT(('Matriz Criterios'!$H$15:$V$15="X")*ISNUMBER('Registro Notas'!$D6:$R6)*'Registro Notas'!$D6:$R6)/SUMPRODUCT(('Matriz Criterios'!$H$15:$V$15="X")*ISNUMBER('Registro Notas'!$D6:$R6)))</f>
        <v/>
      </c>
      <c r="M6" s="35">
        <f>IF(SUMPRODUCT(('Matriz Criterios'!$H$16:$V$16="X")*ISNUMBER('Registro Notas'!$D6:$R6))=0, "-", SUMPRODUCT(('Matriz Criterios'!$H$16:$V$16="X")*ISNUMBER('Registro Notas'!$D6:$R6)*'Registro Notas'!$D6:$R6)/SUMPRODUCT(('Matriz Criterios'!$H$16:$V$16="X")*ISNUMBER('Registro Notas'!$D6:$R6)))</f>
        <v/>
      </c>
      <c r="N6" s="35">
        <f>IF(SUMPRODUCT(('Matriz Criterios'!$H$17:$V$17="X")*ISNUMBER('Registro Notas'!$D6:$R6))=0, "-", SUMPRODUCT(('Matriz Criterios'!$H$17:$V$17="X")*ISNUMBER('Registro Notas'!$D6:$R6)*'Registro Notas'!$D6:$R6)/SUMPRODUCT(('Matriz Criterios'!$H$17:$V$17="X")*ISNUMBER('Registro Notas'!$D6:$R6)))</f>
        <v/>
      </c>
      <c r="O6" s="35">
        <f>IF(SUMPRODUCT(('Matriz Criterios'!$H$18:$V$18="X")*ISNUMBER('Registro Notas'!$D6:$R6))=0, "-", SUMPRODUCT(('Matriz Criterios'!$H$18:$V$18="X")*ISNUMBER('Registro Notas'!$D6:$R6)*'Registro Notas'!$D6:$R6)/SUMPRODUCT(('Matriz Criterios'!$H$18:$V$18="X")*ISNUMBER('Registro Notas'!$D6:$R6)))</f>
        <v/>
      </c>
      <c r="P6" s="35">
        <f>IF(SUMPRODUCT(('Matriz Criterios'!$H$19:$V$19="X")*ISNUMBER('Registro Notas'!$D6:$R6))=0, "-", SUMPRODUCT(('Matriz Criterios'!$H$19:$V$19="X")*ISNUMBER('Registro Notas'!$D6:$R6)*'Registro Notas'!$D6:$R6)/SUMPRODUCT(('Matriz Criterios'!$H$19:$V$19="X")*ISNUMBER('Registro Notas'!$D6:$R6)))</f>
        <v/>
      </c>
      <c r="Q6" s="35">
        <f>IF(SUMPRODUCT(('Matriz Criterios'!$H$20:$V$20="X")*ISNUMBER('Registro Notas'!$D6:$R6))=0, "-", SUMPRODUCT(('Matriz Criterios'!$H$20:$V$20="X")*ISNUMBER('Registro Notas'!$D6:$R6)*'Registro Notas'!$D6:$R6)/SUMPRODUCT(('Matriz Criterios'!$H$20:$V$20="X")*ISNUMBER('Registro Notas'!$D6:$R6)))</f>
        <v/>
      </c>
      <c r="R6" s="35">
        <f>IF(SUMPRODUCT(('Matriz Criterios'!$H$21:$V$21="X")*ISNUMBER('Registro Notas'!$D6:$R6))=0, "-", SUMPRODUCT(('Matriz Criterios'!$H$21:$V$21="X")*ISNUMBER('Registro Notas'!$D6:$R6)*'Registro Notas'!$D6:$R6)/SUMPRODUCT(('Matriz Criterios'!$H$21:$V$21="X")*ISNUMBER('Registro Notas'!$D6:$R6)))</f>
        <v/>
      </c>
      <c r="S6" s="35">
        <f>IF(SUMPRODUCT(('Matriz Criterios'!$H$22:$V$22="X")*ISNUMBER('Registro Notas'!$D6:$R6))=0, "-", SUMPRODUCT(('Matriz Criterios'!$H$22:$V$22="X")*ISNUMBER('Registro Notas'!$D6:$R6)*'Registro Notas'!$D6:$R6)/SUMPRODUCT(('Matriz Criterios'!$H$22:$V$22="X")*ISNUMBER('Registro Notas'!$D6:$R6)))</f>
        <v/>
      </c>
      <c r="T6" s="35">
        <f>IF(SUMPRODUCT(('Matriz Criterios'!$H$23:$V$23="X")*ISNUMBER('Registro Notas'!$D6:$R6))=0, "-", SUMPRODUCT(('Matriz Criterios'!$H$23:$V$23="X")*ISNUMBER('Registro Notas'!$D6:$R6)*'Registro Notas'!$D6:$R6)/SUMPRODUCT(('Matriz Criterios'!$H$23:$V$23="X")*ISNUMBER('Registro Notas'!$D6:$R6)))</f>
        <v/>
      </c>
      <c r="U6" s="35">
        <f>IF(SUMPRODUCT(('Matriz Criterios'!$H$24:$V$24="X")*ISNUMBER('Registro Notas'!$D6:$R6))=0, "-", SUMPRODUCT(('Matriz Criterios'!$H$24:$V$24="X")*ISNUMBER('Registro Notas'!$D6:$R6)*'Registro Notas'!$D6:$R6)/SUMPRODUCT(('Matriz Criterios'!$H$24:$V$24="X")*ISNUMBER('Registro Notas'!$D6:$R6)))</f>
        <v/>
      </c>
      <c r="V6" s="35">
        <f>IF(SUMPRODUCT(('Matriz Criterios'!$H$25:$V$25="X")*ISNUMBER('Registro Notas'!$D6:$R6))=0, "-", SUMPRODUCT(('Matriz Criterios'!$H$25:$V$25="X")*ISNUMBER('Registro Notas'!$D6:$R6)*'Registro Notas'!$D6:$R6)/SUMPRODUCT(('Matriz Criterios'!$H$25:$V$25="X")*ISNUMBER('Registro Notas'!$D6:$R6)))</f>
        <v/>
      </c>
      <c r="W6" s="35">
        <f>IF(SUMPRODUCT(('Matriz Criterios'!$H$26:$V$26="X")*ISNUMBER('Registro Notas'!$D6:$R6))=0, "-", SUMPRODUCT(('Matriz Criterios'!$H$26:$V$26="X")*ISNUMBER('Registro Notas'!$D6:$R6)*'Registro Notas'!$D6:$R6)/SUMPRODUCT(('Matriz Criterios'!$H$26:$V$26="X")*ISNUMBER('Registro Notas'!$D6:$R6)))</f>
        <v/>
      </c>
      <c r="X6" s="35">
        <f>IF(SUMPRODUCT(('Matriz Criterios'!$H$27:$V$27="X")*ISNUMBER('Registro Notas'!$D6:$R6))=0, "-", SUMPRODUCT(('Matriz Criterios'!$H$27:$V$27="X")*ISNUMBER('Registro Notas'!$D6:$R6)*'Registro Notas'!$D6:$R6)/SUMPRODUCT(('Matriz Criterios'!$H$27:$V$27="X")*ISNUMBER('Registro Notas'!$D6:$R6)))</f>
        <v/>
      </c>
      <c r="Y6" s="35">
        <f>IF(SUMPRODUCT(('Matriz Criterios'!$H$28:$V$28="X")*ISNUMBER('Registro Notas'!$D6:$R6))=0, "-", SUMPRODUCT(('Matriz Criterios'!$H$28:$V$28="X")*ISNUMBER('Registro Notas'!$D6:$R6)*'Registro Notas'!$D6:$R6)/SUMPRODUCT(('Matriz Criterios'!$H$28:$V$28="X")*ISNUMBER('Registro Notas'!$D6:$R6)))</f>
        <v/>
      </c>
      <c r="Z6" s="35">
        <f>IF(SUMPRODUCT(('Matriz Criterios'!$H$29:$V$29="X")*ISNUMBER('Registro Notas'!$D6:$R6))=0, "-", SUMPRODUCT(('Matriz Criterios'!$H$29:$V$29="X")*ISNUMBER('Registro Notas'!$D6:$R6)*'Registro Notas'!$D6:$R6)/SUMPRODUCT(('Matriz Criterios'!$H$29:$V$29="X")*ISNUMBER('Registro Notas'!$D6:$R6)))</f>
        <v/>
      </c>
      <c r="AA6" s="35">
        <f>IF(SUMPRODUCT(('Matriz Criterios'!$H$30:$V$30="X")*ISNUMBER('Registro Notas'!$D6:$R6))=0, "-", SUMPRODUCT(('Matriz Criterios'!$H$30:$V$30="X")*ISNUMBER('Registro Notas'!$D6:$R6)*'Registro Notas'!$D6:$R6)/SUMPRODUCT(('Matriz Criterios'!$H$30:$V$30="X")*ISNUMBER('Registro Notas'!$D6:$R6)))</f>
        <v/>
      </c>
      <c r="AB6" s="35">
        <f>IF(SUMPRODUCT(('Matriz Criterios'!$H$31:$V$31="X")*ISNUMBER('Registro Notas'!$D6:$R6))=0, "-", SUMPRODUCT(('Matriz Criterios'!$H$31:$V$31="X")*ISNUMBER('Registro Notas'!$D6:$R6)*'Registro Notas'!$D6:$R6)/SUMPRODUCT(('Matriz Criterios'!$H$31:$V$31="X")*ISNUMBER('Registro Notas'!$D6:$R6)))</f>
        <v/>
      </c>
      <c r="AC6" s="35">
        <f>IF(SUMPRODUCT(('Matriz Criterios'!$H$32:$V$32="X")*ISNUMBER('Registro Notas'!$D6:$R6))=0, "-", SUMPRODUCT(('Matriz Criterios'!$H$32:$V$32="X")*ISNUMBER('Registro Notas'!$D6:$R6)*'Registro Notas'!$D6:$R6)/SUMPRODUCT(('Matriz Criterios'!$H$32:$V$32="X")*ISNUMBER('Registro Notas'!$D6:$R6)))</f>
        <v/>
      </c>
      <c r="AD6" s="35">
        <f>IF(SUMPRODUCT(('Matriz Criterios'!$H$33:$V$33="X")*ISNUMBER('Registro Notas'!$D6:$R6))=0, "-", SUMPRODUCT(('Matriz Criterios'!$H$33:$V$33="X")*ISNUMBER('Registro Notas'!$D6:$R6)*'Registro Notas'!$D6:$R6)/SUMPRODUCT(('Matriz Criterios'!$H$33:$V$33="X")*ISNUMBER('Registro Notas'!$D6:$R6)))</f>
        <v/>
      </c>
      <c r="AE6" s="35">
        <f>IF(SUMPRODUCT(('Matriz Criterios'!$H$34:$V$34="X")*ISNUMBER('Registro Notas'!$D6:$R6))=0, "-", SUMPRODUCT(('Matriz Criterios'!$H$34:$V$34="X")*ISNUMBER('Registro Notas'!$D6:$R6)*'Registro Notas'!$D6:$R6)/SUMPRODUCT(('Matriz Criterios'!$H$34:$V$34="X")*ISNUMBER('Registro Notas'!$D6:$R6)))</f>
        <v/>
      </c>
      <c r="AF6" s="35">
        <f>IF(SUMPRODUCT(('Matriz Criterios'!$H$35:$V$35="X")*ISNUMBER('Registro Notas'!$D6:$R6))=0, "-", SUMPRODUCT(('Matriz Criterios'!$H$35:$V$35="X")*ISNUMBER('Registro Notas'!$D6:$R6)*'Registro Notas'!$D6:$R6)/SUMPRODUCT(('Matriz Criterios'!$H$35:$V$35="X")*ISNUMBER('Registro Notas'!$D6:$R6)))</f>
        <v/>
      </c>
      <c r="AG6" s="35">
        <f>IF(SUMPRODUCT(('Matriz Criterios'!$H$36:$V$36="X")*ISNUMBER('Registro Notas'!$D6:$R6))=0, "-", SUMPRODUCT(('Matriz Criterios'!$H$36:$V$36="X")*ISNUMBER('Registro Notas'!$D6:$R6)*'Registro Notas'!$D6:$R6)/SUMPRODUCT(('Matriz Criterios'!$H$36:$V$36="X")*ISNUMBER('Registro Notas'!$D6:$R6)))</f>
        <v/>
      </c>
      <c r="AH6" s="35">
        <f>IF(SUMPRODUCT(('Matriz Criterios'!$H$37:$V$37="X")*ISNUMBER('Registro Notas'!$D6:$R6))=0, "-", SUMPRODUCT(('Matriz Criterios'!$H$37:$V$37="X")*ISNUMBER('Registro Notas'!$D6:$R6)*'Registro Notas'!$D6:$R6)/SUMPRODUCT(('Matriz Criterios'!$H$37:$V$37="X")*ISNUMBER('Registro Notas'!$D6:$R6)))</f>
        <v/>
      </c>
      <c r="AI6" s="35">
        <f>IF(SUMPRODUCT(('Matriz Criterios'!$H$38:$V$38="X")*ISNUMBER('Registro Notas'!$D6:$R6))=0, "-", SUMPRODUCT(('Matriz Criterios'!$H$38:$V$38="X")*ISNUMBER('Registro Notas'!$D6:$R6)*'Registro Notas'!$D6:$R6)/SUMPRODUCT(('Matriz Criterios'!$H$38:$V$38="X")*ISNUMBER('Registro Notas'!$D6:$R6)))</f>
        <v/>
      </c>
      <c r="AJ6" s="35">
        <f>IF(SUMPRODUCT(('Matriz Criterios'!$H$39:$V$39="X")*ISNUMBER('Registro Notas'!$D6:$R6))=0, "-", SUMPRODUCT(('Matriz Criterios'!$H$39:$V$39="X")*ISNUMBER('Registro Notas'!$D6:$R6)*'Registro Notas'!$D6:$R6)/SUMPRODUCT(('Matriz Criterios'!$H$39:$V$39="X")*ISNUMBER('Registro Notas'!$D6:$R6)))</f>
        <v/>
      </c>
      <c r="AK6" s="35">
        <f>IF(SUMPRODUCT(('Matriz Criterios'!$H$40:$V$40="X")*ISNUMBER('Registro Notas'!$D6:$R6))=0, "-", SUMPRODUCT(('Matriz Criterios'!$H$40:$V$40="X")*ISNUMBER('Registro Notas'!$D6:$R6)*'Registro Notas'!$D6:$R6)/SUMPRODUCT(('Matriz Criterios'!$H$40:$V$40="X")*ISNUMBER('Registro Notas'!$D6:$R6)))</f>
        <v/>
      </c>
      <c r="AL6" s="35">
        <f>IF(SUMPRODUCT(('Matriz Criterios'!$H$41:$V$41="X")*ISNUMBER('Registro Notas'!$D6:$R6))=0, "-", SUMPRODUCT(('Matriz Criterios'!$H$41:$V$41="X")*ISNUMBER('Registro Notas'!$D6:$R6)*'Registro Notas'!$D6:$R6)/SUMPRODUCT(('Matriz Criterios'!$H$41:$V$41="X")*ISNUMBER('Registro Notas'!$D6:$R6)))</f>
        <v/>
      </c>
      <c r="AM6" s="35">
        <f>IF(SUMPRODUCT(('Matriz Criterios'!$H$42:$V$42="X")*ISNUMBER('Registro Notas'!$D6:$R6))=0, "-", SUMPRODUCT(('Matriz Criterios'!$H$42:$V$42="X")*ISNUMBER('Registro Notas'!$D6:$R6)*'Registro Notas'!$D6:$R6)/SUMPRODUCT(('Matriz Criterios'!$H$42:$V$42="X")*ISNUMBER('Registro Notas'!$D6:$R6)))</f>
        <v/>
      </c>
      <c r="AN6" s="35">
        <f>IF(SUMPRODUCT(('Matriz Criterios'!$H$43:$V$43="X")*ISNUMBER('Registro Notas'!$D6:$R6))=0, "-", SUMPRODUCT(('Matriz Criterios'!$H$43:$V$43="X")*ISNUMBER('Registro Notas'!$D6:$R6)*'Registro Notas'!$D6:$R6)/SUMPRODUCT(('Matriz Criterios'!$H$43:$V$43="X")*ISNUMBER('Registro Notas'!$D6:$R6)))</f>
        <v/>
      </c>
      <c r="AO6" s="35">
        <f>IF(SUMPRODUCT(('Matriz Criterios'!$H$44:$V$44="X")*ISNUMBER('Registro Notas'!$D6:$R6))=0, "-", SUMPRODUCT(('Matriz Criterios'!$H$44:$V$44="X")*ISNUMBER('Registro Notas'!$D6:$R6)*'Registro Notas'!$D6:$R6)/SUMPRODUCT(('Matriz Criterios'!$H$44:$V$44="X")*ISNUMBER('Registro Notas'!$D6:$R6)))</f>
        <v/>
      </c>
      <c r="AP6" s="35">
        <f>IF(SUMPRODUCT(('Matriz Criterios'!$H$45:$V$45="X")*ISNUMBER('Registro Notas'!$D6:$R6))=0, "-", SUMPRODUCT(('Matriz Criterios'!$H$45:$V$45="X")*ISNUMBER('Registro Notas'!$D6:$R6)*'Registro Notas'!$D6:$R6)/SUMPRODUCT(('Matriz Criterios'!$H$45:$V$45="X")*ISNUMBER('Registro Notas'!$D6:$R6)))</f>
        <v/>
      </c>
      <c r="AQ6" s="49">
        <f>AVERAGE(C6:AP6)</f>
        <v/>
      </c>
      <c r="AR6" s="50">
        <f>COUNTIF(C6:AP6, "&gt;=5")</f>
        <v/>
      </c>
    </row>
    <row r="7" ht="20" customHeight="1">
      <c r="A7" s="21" t="n">
        <v>2</v>
      </c>
      <c r="B7" s="38" t="inlineStr">
        <is>
          <t>Benítez Romero, Carlos</t>
        </is>
      </c>
      <c r="C7" s="39">
        <f>IF(SUMPRODUCT(('Matriz Criterios'!$H$6:$V$6="X")*ISNUMBER('Registro Notas'!$D7:$R7))=0, "-", SUMPRODUCT(('Matriz Criterios'!$H$6:$V$6="X")*ISNUMBER('Registro Notas'!$D7:$R7)*'Registro Notas'!$D7:$R7)/SUMPRODUCT(('Matriz Criterios'!$H$6:$V$6="X")*ISNUMBER('Registro Notas'!$D7:$R7)))</f>
        <v/>
      </c>
      <c r="D7" s="39">
        <f>IF(SUMPRODUCT(('Matriz Criterios'!$H$7:$V$7="X")*ISNUMBER('Registro Notas'!$D7:$R7))=0, "-", SUMPRODUCT(('Matriz Criterios'!$H$7:$V$7="X")*ISNUMBER('Registro Notas'!$D7:$R7)*'Registro Notas'!$D7:$R7)/SUMPRODUCT(('Matriz Criterios'!$H$7:$V$7="X")*ISNUMBER('Registro Notas'!$D7:$R7)))</f>
        <v/>
      </c>
      <c r="E7" s="39">
        <f>IF(SUMPRODUCT(('Matriz Criterios'!$H$8:$V$8="X")*ISNUMBER('Registro Notas'!$D7:$R7))=0, "-", SUMPRODUCT(('Matriz Criterios'!$H$8:$V$8="X")*ISNUMBER('Registro Notas'!$D7:$R7)*'Registro Notas'!$D7:$R7)/SUMPRODUCT(('Matriz Criterios'!$H$8:$V$8="X")*ISNUMBER('Registro Notas'!$D7:$R7)))</f>
        <v/>
      </c>
      <c r="F7" s="39">
        <f>IF(SUMPRODUCT(('Matriz Criterios'!$H$9:$V$9="X")*ISNUMBER('Registro Notas'!$D7:$R7))=0, "-", SUMPRODUCT(('Matriz Criterios'!$H$9:$V$9="X")*ISNUMBER('Registro Notas'!$D7:$R7)*'Registro Notas'!$D7:$R7)/SUMPRODUCT(('Matriz Criterios'!$H$9:$V$9="X")*ISNUMBER('Registro Notas'!$D7:$R7)))</f>
        <v/>
      </c>
      <c r="G7" s="39">
        <f>IF(SUMPRODUCT(('Matriz Criterios'!$H$10:$V$10="X")*ISNUMBER('Registro Notas'!$D7:$R7))=0, "-", SUMPRODUCT(('Matriz Criterios'!$H$10:$V$10="X")*ISNUMBER('Registro Notas'!$D7:$R7)*'Registro Notas'!$D7:$R7)/SUMPRODUCT(('Matriz Criterios'!$H$10:$V$10="X")*ISNUMBER('Registro Notas'!$D7:$R7)))</f>
        <v/>
      </c>
      <c r="H7" s="39">
        <f>IF(SUMPRODUCT(('Matriz Criterios'!$H$11:$V$11="X")*ISNUMBER('Registro Notas'!$D7:$R7))=0, "-", SUMPRODUCT(('Matriz Criterios'!$H$11:$V$11="X")*ISNUMBER('Registro Notas'!$D7:$R7)*'Registro Notas'!$D7:$R7)/SUMPRODUCT(('Matriz Criterios'!$H$11:$V$11="X")*ISNUMBER('Registro Notas'!$D7:$R7)))</f>
        <v/>
      </c>
      <c r="I7" s="39">
        <f>IF(SUMPRODUCT(('Matriz Criterios'!$H$12:$V$12="X")*ISNUMBER('Registro Notas'!$D7:$R7))=0, "-", SUMPRODUCT(('Matriz Criterios'!$H$12:$V$12="X")*ISNUMBER('Registro Notas'!$D7:$R7)*'Registro Notas'!$D7:$R7)/SUMPRODUCT(('Matriz Criterios'!$H$12:$V$12="X")*ISNUMBER('Registro Notas'!$D7:$R7)))</f>
        <v/>
      </c>
      <c r="J7" s="39">
        <f>IF(SUMPRODUCT(('Matriz Criterios'!$H$13:$V$13="X")*ISNUMBER('Registro Notas'!$D7:$R7))=0, "-", SUMPRODUCT(('Matriz Criterios'!$H$13:$V$13="X")*ISNUMBER('Registro Notas'!$D7:$R7)*'Registro Notas'!$D7:$R7)/SUMPRODUCT(('Matriz Criterios'!$H$13:$V$13="X")*ISNUMBER('Registro Notas'!$D7:$R7)))</f>
        <v/>
      </c>
      <c r="K7" s="39">
        <f>IF(SUMPRODUCT(('Matriz Criterios'!$H$14:$V$14="X")*ISNUMBER('Registro Notas'!$D7:$R7))=0, "-", SUMPRODUCT(('Matriz Criterios'!$H$14:$V$14="X")*ISNUMBER('Registro Notas'!$D7:$R7)*'Registro Notas'!$D7:$R7)/SUMPRODUCT(('Matriz Criterios'!$H$14:$V$14="X")*ISNUMBER('Registro Notas'!$D7:$R7)))</f>
        <v/>
      </c>
      <c r="L7" s="39">
        <f>IF(SUMPRODUCT(('Matriz Criterios'!$H$15:$V$15="X")*ISNUMBER('Registro Notas'!$D7:$R7))=0, "-", SUMPRODUCT(('Matriz Criterios'!$H$15:$V$15="X")*ISNUMBER('Registro Notas'!$D7:$R7)*'Registro Notas'!$D7:$R7)/SUMPRODUCT(('Matriz Criterios'!$H$15:$V$15="X")*ISNUMBER('Registro Notas'!$D7:$R7)))</f>
        <v/>
      </c>
      <c r="M7" s="39">
        <f>IF(SUMPRODUCT(('Matriz Criterios'!$H$16:$V$16="X")*ISNUMBER('Registro Notas'!$D7:$R7))=0, "-", SUMPRODUCT(('Matriz Criterios'!$H$16:$V$16="X")*ISNUMBER('Registro Notas'!$D7:$R7)*'Registro Notas'!$D7:$R7)/SUMPRODUCT(('Matriz Criterios'!$H$16:$V$16="X")*ISNUMBER('Registro Notas'!$D7:$R7)))</f>
        <v/>
      </c>
      <c r="N7" s="39">
        <f>IF(SUMPRODUCT(('Matriz Criterios'!$H$17:$V$17="X")*ISNUMBER('Registro Notas'!$D7:$R7))=0, "-", SUMPRODUCT(('Matriz Criterios'!$H$17:$V$17="X")*ISNUMBER('Registro Notas'!$D7:$R7)*'Registro Notas'!$D7:$R7)/SUMPRODUCT(('Matriz Criterios'!$H$17:$V$17="X")*ISNUMBER('Registro Notas'!$D7:$R7)))</f>
        <v/>
      </c>
      <c r="O7" s="39">
        <f>IF(SUMPRODUCT(('Matriz Criterios'!$H$18:$V$18="X")*ISNUMBER('Registro Notas'!$D7:$R7))=0, "-", SUMPRODUCT(('Matriz Criterios'!$H$18:$V$18="X")*ISNUMBER('Registro Notas'!$D7:$R7)*'Registro Notas'!$D7:$R7)/SUMPRODUCT(('Matriz Criterios'!$H$18:$V$18="X")*ISNUMBER('Registro Notas'!$D7:$R7)))</f>
        <v/>
      </c>
      <c r="P7" s="39">
        <f>IF(SUMPRODUCT(('Matriz Criterios'!$H$19:$V$19="X")*ISNUMBER('Registro Notas'!$D7:$R7))=0, "-", SUMPRODUCT(('Matriz Criterios'!$H$19:$V$19="X")*ISNUMBER('Registro Notas'!$D7:$R7)*'Registro Notas'!$D7:$R7)/SUMPRODUCT(('Matriz Criterios'!$H$19:$V$19="X")*ISNUMBER('Registro Notas'!$D7:$R7)))</f>
        <v/>
      </c>
      <c r="Q7" s="39">
        <f>IF(SUMPRODUCT(('Matriz Criterios'!$H$20:$V$20="X")*ISNUMBER('Registro Notas'!$D7:$R7))=0, "-", SUMPRODUCT(('Matriz Criterios'!$H$20:$V$20="X")*ISNUMBER('Registro Notas'!$D7:$R7)*'Registro Notas'!$D7:$R7)/SUMPRODUCT(('Matriz Criterios'!$H$20:$V$20="X")*ISNUMBER('Registro Notas'!$D7:$R7)))</f>
        <v/>
      </c>
      <c r="R7" s="39">
        <f>IF(SUMPRODUCT(('Matriz Criterios'!$H$21:$V$21="X")*ISNUMBER('Registro Notas'!$D7:$R7))=0, "-", SUMPRODUCT(('Matriz Criterios'!$H$21:$V$21="X")*ISNUMBER('Registro Notas'!$D7:$R7)*'Registro Notas'!$D7:$R7)/SUMPRODUCT(('Matriz Criterios'!$H$21:$V$21="X")*ISNUMBER('Registro Notas'!$D7:$R7)))</f>
        <v/>
      </c>
      <c r="S7" s="39">
        <f>IF(SUMPRODUCT(('Matriz Criterios'!$H$22:$V$22="X")*ISNUMBER('Registro Notas'!$D7:$R7))=0, "-", SUMPRODUCT(('Matriz Criterios'!$H$22:$V$22="X")*ISNUMBER('Registro Notas'!$D7:$R7)*'Registro Notas'!$D7:$R7)/SUMPRODUCT(('Matriz Criterios'!$H$22:$V$22="X")*ISNUMBER('Registro Notas'!$D7:$R7)))</f>
        <v/>
      </c>
      <c r="T7" s="39">
        <f>IF(SUMPRODUCT(('Matriz Criterios'!$H$23:$V$23="X")*ISNUMBER('Registro Notas'!$D7:$R7))=0, "-", SUMPRODUCT(('Matriz Criterios'!$H$23:$V$23="X")*ISNUMBER('Registro Notas'!$D7:$R7)*'Registro Notas'!$D7:$R7)/SUMPRODUCT(('Matriz Criterios'!$H$23:$V$23="X")*ISNUMBER('Registro Notas'!$D7:$R7)))</f>
        <v/>
      </c>
      <c r="U7" s="39">
        <f>IF(SUMPRODUCT(('Matriz Criterios'!$H$24:$V$24="X")*ISNUMBER('Registro Notas'!$D7:$R7))=0, "-", SUMPRODUCT(('Matriz Criterios'!$H$24:$V$24="X")*ISNUMBER('Registro Notas'!$D7:$R7)*'Registro Notas'!$D7:$R7)/SUMPRODUCT(('Matriz Criterios'!$H$24:$V$24="X")*ISNUMBER('Registro Notas'!$D7:$R7)))</f>
        <v/>
      </c>
      <c r="V7" s="39">
        <f>IF(SUMPRODUCT(('Matriz Criterios'!$H$25:$V$25="X")*ISNUMBER('Registro Notas'!$D7:$R7))=0, "-", SUMPRODUCT(('Matriz Criterios'!$H$25:$V$25="X")*ISNUMBER('Registro Notas'!$D7:$R7)*'Registro Notas'!$D7:$R7)/SUMPRODUCT(('Matriz Criterios'!$H$25:$V$25="X")*ISNUMBER('Registro Notas'!$D7:$R7)))</f>
        <v/>
      </c>
      <c r="W7" s="39">
        <f>IF(SUMPRODUCT(('Matriz Criterios'!$H$26:$V$26="X")*ISNUMBER('Registro Notas'!$D7:$R7))=0, "-", SUMPRODUCT(('Matriz Criterios'!$H$26:$V$26="X")*ISNUMBER('Registro Notas'!$D7:$R7)*'Registro Notas'!$D7:$R7)/SUMPRODUCT(('Matriz Criterios'!$H$26:$V$26="X")*ISNUMBER('Registro Notas'!$D7:$R7)))</f>
        <v/>
      </c>
      <c r="X7" s="39">
        <f>IF(SUMPRODUCT(('Matriz Criterios'!$H$27:$V$27="X")*ISNUMBER('Registro Notas'!$D7:$R7))=0, "-", SUMPRODUCT(('Matriz Criterios'!$H$27:$V$27="X")*ISNUMBER('Registro Notas'!$D7:$R7)*'Registro Notas'!$D7:$R7)/SUMPRODUCT(('Matriz Criterios'!$H$27:$V$27="X")*ISNUMBER('Registro Notas'!$D7:$R7)))</f>
        <v/>
      </c>
      <c r="Y7" s="39">
        <f>IF(SUMPRODUCT(('Matriz Criterios'!$H$28:$V$28="X")*ISNUMBER('Registro Notas'!$D7:$R7))=0, "-", SUMPRODUCT(('Matriz Criterios'!$H$28:$V$28="X")*ISNUMBER('Registro Notas'!$D7:$R7)*'Registro Notas'!$D7:$R7)/SUMPRODUCT(('Matriz Criterios'!$H$28:$V$28="X")*ISNUMBER('Registro Notas'!$D7:$R7)))</f>
        <v/>
      </c>
      <c r="Z7" s="39">
        <f>IF(SUMPRODUCT(('Matriz Criterios'!$H$29:$V$29="X")*ISNUMBER('Registro Notas'!$D7:$R7))=0, "-", SUMPRODUCT(('Matriz Criterios'!$H$29:$V$29="X")*ISNUMBER('Registro Notas'!$D7:$R7)*'Registro Notas'!$D7:$R7)/SUMPRODUCT(('Matriz Criterios'!$H$29:$V$29="X")*ISNUMBER('Registro Notas'!$D7:$R7)))</f>
        <v/>
      </c>
      <c r="AA7" s="39">
        <f>IF(SUMPRODUCT(('Matriz Criterios'!$H$30:$V$30="X")*ISNUMBER('Registro Notas'!$D7:$R7))=0, "-", SUMPRODUCT(('Matriz Criterios'!$H$30:$V$30="X")*ISNUMBER('Registro Notas'!$D7:$R7)*'Registro Notas'!$D7:$R7)/SUMPRODUCT(('Matriz Criterios'!$H$30:$V$30="X")*ISNUMBER('Registro Notas'!$D7:$R7)))</f>
        <v/>
      </c>
      <c r="AB7" s="39">
        <f>IF(SUMPRODUCT(('Matriz Criterios'!$H$31:$V$31="X")*ISNUMBER('Registro Notas'!$D7:$R7))=0, "-", SUMPRODUCT(('Matriz Criterios'!$H$31:$V$31="X")*ISNUMBER('Registro Notas'!$D7:$R7)*'Registro Notas'!$D7:$R7)/SUMPRODUCT(('Matriz Criterios'!$H$31:$V$31="X")*ISNUMBER('Registro Notas'!$D7:$R7)))</f>
        <v/>
      </c>
      <c r="AC7" s="39">
        <f>IF(SUMPRODUCT(('Matriz Criterios'!$H$32:$V$32="X")*ISNUMBER('Registro Notas'!$D7:$R7))=0, "-", SUMPRODUCT(('Matriz Criterios'!$H$32:$V$32="X")*ISNUMBER('Registro Notas'!$D7:$R7)*'Registro Notas'!$D7:$R7)/SUMPRODUCT(('Matriz Criterios'!$H$32:$V$32="X")*ISNUMBER('Registro Notas'!$D7:$R7)))</f>
        <v/>
      </c>
      <c r="AD7" s="39">
        <f>IF(SUMPRODUCT(('Matriz Criterios'!$H$33:$V$33="X")*ISNUMBER('Registro Notas'!$D7:$R7))=0, "-", SUMPRODUCT(('Matriz Criterios'!$H$33:$V$33="X")*ISNUMBER('Registro Notas'!$D7:$R7)*'Registro Notas'!$D7:$R7)/SUMPRODUCT(('Matriz Criterios'!$H$33:$V$33="X")*ISNUMBER('Registro Notas'!$D7:$R7)))</f>
        <v/>
      </c>
      <c r="AE7" s="39">
        <f>IF(SUMPRODUCT(('Matriz Criterios'!$H$34:$V$34="X")*ISNUMBER('Registro Notas'!$D7:$R7))=0, "-", SUMPRODUCT(('Matriz Criterios'!$H$34:$V$34="X")*ISNUMBER('Registro Notas'!$D7:$R7)*'Registro Notas'!$D7:$R7)/SUMPRODUCT(('Matriz Criterios'!$H$34:$V$34="X")*ISNUMBER('Registro Notas'!$D7:$R7)))</f>
        <v/>
      </c>
      <c r="AF7" s="39">
        <f>IF(SUMPRODUCT(('Matriz Criterios'!$H$35:$V$35="X")*ISNUMBER('Registro Notas'!$D7:$R7))=0, "-", SUMPRODUCT(('Matriz Criterios'!$H$35:$V$35="X")*ISNUMBER('Registro Notas'!$D7:$R7)*'Registro Notas'!$D7:$R7)/SUMPRODUCT(('Matriz Criterios'!$H$35:$V$35="X")*ISNUMBER('Registro Notas'!$D7:$R7)))</f>
        <v/>
      </c>
      <c r="AG7" s="39">
        <f>IF(SUMPRODUCT(('Matriz Criterios'!$H$36:$V$36="X")*ISNUMBER('Registro Notas'!$D7:$R7))=0, "-", SUMPRODUCT(('Matriz Criterios'!$H$36:$V$36="X")*ISNUMBER('Registro Notas'!$D7:$R7)*'Registro Notas'!$D7:$R7)/SUMPRODUCT(('Matriz Criterios'!$H$36:$V$36="X")*ISNUMBER('Registro Notas'!$D7:$R7)))</f>
        <v/>
      </c>
      <c r="AH7" s="39">
        <f>IF(SUMPRODUCT(('Matriz Criterios'!$H$37:$V$37="X")*ISNUMBER('Registro Notas'!$D7:$R7))=0, "-", SUMPRODUCT(('Matriz Criterios'!$H$37:$V$37="X")*ISNUMBER('Registro Notas'!$D7:$R7)*'Registro Notas'!$D7:$R7)/SUMPRODUCT(('Matriz Criterios'!$H$37:$V$37="X")*ISNUMBER('Registro Notas'!$D7:$R7)))</f>
        <v/>
      </c>
      <c r="AI7" s="39">
        <f>IF(SUMPRODUCT(('Matriz Criterios'!$H$38:$V$38="X")*ISNUMBER('Registro Notas'!$D7:$R7))=0, "-", SUMPRODUCT(('Matriz Criterios'!$H$38:$V$38="X")*ISNUMBER('Registro Notas'!$D7:$R7)*'Registro Notas'!$D7:$R7)/SUMPRODUCT(('Matriz Criterios'!$H$38:$V$38="X")*ISNUMBER('Registro Notas'!$D7:$R7)))</f>
        <v/>
      </c>
      <c r="AJ7" s="39">
        <f>IF(SUMPRODUCT(('Matriz Criterios'!$H$39:$V$39="X")*ISNUMBER('Registro Notas'!$D7:$R7))=0, "-", SUMPRODUCT(('Matriz Criterios'!$H$39:$V$39="X")*ISNUMBER('Registro Notas'!$D7:$R7)*'Registro Notas'!$D7:$R7)/SUMPRODUCT(('Matriz Criterios'!$H$39:$V$39="X")*ISNUMBER('Registro Notas'!$D7:$R7)))</f>
        <v/>
      </c>
      <c r="AK7" s="39">
        <f>IF(SUMPRODUCT(('Matriz Criterios'!$H$40:$V$40="X")*ISNUMBER('Registro Notas'!$D7:$R7))=0, "-", SUMPRODUCT(('Matriz Criterios'!$H$40:$V$40="X")*ISNUMBER('Registro Notas'!$D7:$R7)*'Registro Notas'!$D7:$R7)/SUMPRODUCT(('Matriz Criterios'!$H$40:$V$40="X")*ISNUMBER('Registro Notas'!$D7:$R7)))</f>
        <v/>
      </c>
      <c r="AL7" s="39">
        <f>IF(SUMPRODUCT(('Matriz Criterios'!$H$41:$V$41="X")*ISNUMBER('Registro Notas'!$D7:$R7))=0, "-", SUMPRODUCT(('Matriz Criterios'!$H$41:$V$41="X")*ISNUMBER('Registro Notas'!$D7:$R7)*'Registro Notas'!$D7:$R7)/SUMPRODUCT(('Matriz Criterios'!$H$41:$V$41="X")*ISNUMBER('Registro Notas'!$D7:$R7)))</f>
        <v/>
      </c>
      <c r="AM7" s="39">
        <f>IF(SUMPRODUCT(('Matriz Criterios'!$H$42:$V$42="X")*ISNUMBER('Registro Notas'!$D7:$R7))=0, "-", SUMPRODUCT(('Matriz Criterios'!$H$42:$V$42="X")*ISNUMBER('Registro Notas'!$D7:$R7)*'Registro Notas'!$D7:$R7)/SUMPRODUCT(('Matriz Criterios'!$H$42:$V$42="X")*ISNUMBER('Registro Notas'!$D7:$R7)))</f>
        <v/>
      </c>
      <c r="AN7" s="39">
        <f>IF(SUMPRODUCT(('Matriz Criterios'!$H$43:$V$43="X")*ISNUMBER('Registro Notas'!$D7:$R7))=0, "-", SUMPRODUCT(('Matriz Criterios'!$H$43:$V$43="X")*ISNUMBER('Registro Notas'!$D7:$R7)*'Registro Notas'!$D7:$R7)/SUMPRODUCT(('Matriz Criterios'!$H$43:$V$43="X")*ISNUMBER('Registro Notas'!$D7:$R7)))</f>
        <v/>
      </c>
      <c r="AO7" s="39">
        <f>IF(SUMPRODUCT(('Matriz Criterios'!$H$44:$V$44="X")*ISNUMBER('Registro Notas'!$D7:$R7))=0, "-", SUMPRODUCT(('Matriz Criterios'!$H$44:$V$44="X")*ISNUMBER('Registro Notas'!$D7:$R7)*'Registro Notas'!$D7:$R7)/SUMPRODUCT(('Matriz Criterios'!$H$44:$V$44="X")*ISNUMBER('Registro Notas'!$D7:$R7)))</f>
        <v/>
      </c>
      <c r="AP7" s="39">
        <f>IF(SUMPRODUCT(('Matriz Criterios'!$H$45:$V$45="X")*ISNUMBER('Registro Notas'!$D7:$R7))=0, "-", SUMPRODUCT(('Matriz Criterios'!$H$45:$V$45="X")*ISNUMBER('Registro Notas'!$D7:$R7)*'Registro Notas'!$D7:$R7)/SUMPRODUCT(('Matriz Criterios'!$H$45:$V$45="X")*ISNUMBER('Registro Notas'!$D7:$R7)))</f>
        <v/>
      </c>
      <c r="AQ7" s="49">
        <f>AVERAGE(C7:AP7)</f>
        <v/>
      </c>
      <c r="AR7" s="50">
        <f>COUNTIF(C7:AP7, "&gt;=5")</f>
        <v/>
      </c>
    </row>
    <row r="8" ht="20" customHeight="1">
      <c r="A8" s="13" t="n">
        <v>3</v>
      </c>
      <c r="B8" s="34" t="inlineStr">
        <is>
          <t>Castillo Morales, Elena</t>
        </is>
      </c>
      <c r="C8" s="35">
        <f>IF(SUMPRODUCT(('Matriz Criterios'!$H$6:$V$6="X")*ISNUMBER('Registro Notas'!$D8:$R8))=0, "-", SUMPRODUCT(('Matriz Criterios'!$H$6:$V$6="X")*ISNUMBER('Registro Notas'!$D8:$R8)*'Registro Notas'!$D8:$R8)/SUMPRODUCT(('Matriz Criterios'!$H$6:$V$6="X")*ISNUMBER('Registro Notas'!$D8:$R8)))</f>
        <v/>
      </c>
      <c r="D8" s="35">
        <f>IF(SUMPRODUCT(('Matriz Criterios'!$H$7:$V$7="X")*ISNUMBER('Registro Notas'!$D8:$R8))=0, "-", SUMPRODUCT(('Matriz Criterios'!$H$7:$V$7="X")*ISNUMBER('Registro Notas'!$D8:$R8)*'Registro Notas'!$D8:$R8)/SUMPRODUCT(('Matriz Criterios'!$H$7:$V$7="X")*ISNUMBER('Registro Notas'!$D8:$R8)))</f>
        <v/>
      </c>
      <c r="E8" s="35">
        <f>IF(SUMPRODUCT(('Matriz Criterios'!$H$8:$V$8="X")*ISNUMBER('Registro Notas'!$D8:$R8))=0, "-", SUMPRODUCT(('Matriz Criterios'!$H$8:$V$8="X")*ISNUMBER('Registro Notas'!$D8:$R8)*'Registro Notas'!$D8:$R8)/SUMPRODUCT(('Matriz Criterios'!$H$8:$V$8="X")*ISNUMBER('Registro Notas'!$D8:$R8)))</f>
        <v/>
      </c>
      <c r="F8" s="35">
        <f>IF(SUMPRODUCT(('Matriz Criterios'!$H$9:$V$9="X")*ISNUMBER('Registro Notas'!$D8:$R8))=0, "-", SUMPRODUCT(('Matriz Criterios'!$H$9:$V$9="X")*ISNUMBER('Registro Notas'!$D8:$R8)*'Registro Notas'!$D8:$R8)/SUMPRODUCT(('Matriz Criterios'!$H$9:$V$9="X")*ISNUMBER('Registro Notas'!$D8:$R8)))</f>
        <v/>
      </c>
      <c r="G8" s="35">
        <f>IF(SUMPRODUCT(('Matriz Criterios'!$H$10:$V$10="X")*ISNUMBER('Registro Notas'!$D8:$R8))=0, "-", SUMPRODUCT(('Matriz Criterios'!$H$10:$V$10="X")*ISNUMBER('Registro Notas'!$D8:$R8)*'Registro Notas'!$D8:$R8)/SUMPRODUCT(('Matriz Criterios'!$H$10:$V$10="X")*ISNUMBER('Registro Notas'!$D8:$R8)))</f>
        <v/>
      </c>
      <c r="H8" s="35">
        <f>IF(SUMPRODUCT(('Matriz Criterios'!$H$11:$V$11="X")*ISNUMBER('Registro Notas'!$D8:$R8))=0, "-", SUMPRODUCT(('Matriz Criterios'!$H$11:$V$11="X")*ISNUMBER('Registro Notas'!$D8:$R8)*'Registro Notas'!$D8:$R8)/SUMPRODUCT(('Matriz Criterios'!$H$11:$V$11="X")*ISNUMBER('Registro Notas'!$D8:$R8)))</f>
        <v/>
      </c>
      <c r="I8" s="35">
        <f>IF(SUMPRODUCT(('Matriz Criterios'!$H$12:$V$12="X")*ISNUMBER('Registro Notas'!$D8:$R8))=0, "-", SUMPRODUCT(('Matriz Criterios'!$H$12:$V$12="X")*ISNUMBER('Registro Notas'!$D8:$R8)*'Registro Notas'!$D8:$R8)/SUMPRODUCT(('Matriz Criterios'!$H$12:$V$12="X")*ISNUMBER('Registro Notas'!$D8:$R8)))</f>
        <v/>
      </c>
      <c r="J8" s="35">
        <f>IF(SUMPRODUCT(('Matriz Criterios'!$H$13:$V$13="X")*ISNUMBER('Registro Notas'!$D8:$R8))=0, "-", SUMPRODUCT(('Matriz Criterios'!$H$13:$V$13="X")*ISNUMBER('Registro Notas'!$D8:$R8)*'Registro Notas'!$D8:$R8)/SUMPRODUCT(('Matriz Criterios'!$H$13:$V$13="X")*ISNUMBER('Registro Notas'!$D8:$R8)))</f>
        <v/>
      </c>
      <c r="K8" s="35">
        <f>IF(SUMPRODUCT(('Matriz Criterios'!$H$14:$V$14="X")*ISNUMBER('Registro Notas'!$D8:$R8))=0, "-", SUMPRODUCT(('Matriz Criterios'!$H$14:$V$14="X")*ISNUMBER('Registro Notas'!$D8:$R8)*'Registro Notas'!$D8:$R8)/SUMPRODUCT(('Matriz Criterios'!$H$14:$V$14="X")*ISNUMBER('Registro Notas'!$D8:$R8)))</f>
        <v/>
      </c>
      <c r="L8" s="35">
        <f>IF(SUMPRODUCT(('Matriz Criterios'!$H$15:$V$15="X")*ISNUMBER('Registro Notas'!$D8:$R8))=0, "-", SUMPRODUCT(('Matriz Criterios'!$H$15:$V$15="X")*ISNUMBER('Registro Notas'!$D8:$R8)*'Registro Notas'!$D8:$R8)/SUMPRODUCT(('Matriz Criterios'!$H$15:$V$15="X")*ISNUMBER('Registro Notas'!$D8:$R8)))</f>
        <v/>
      </c>
      <c r="M8" s="35">
        <f>IF(SUMPRODUCT(('Matriz Criterios'!$H$16:$V$16="X")*ISNUMBER('Registro Notas'!$D8:$R8))=0, "-", SUMPRODUCT(('Matriz Criterios'!$H$16:$V$16="X")*ISNUMBER('Registro Notas'!$D8:$R8)*'Registro Notas'!$D8:$R8)/SUMPRODUCT(('Matriz Criterios'!$H$16:$V$16="X")*ISNUMBER('Registro Notas'!$D8:$R8)))</f>
        <v/>
      </c>
      <c r="N8" s="35">
        <f>IF(SUMPRODUCT(('Matriz Criterios'!$H$17:$V$17="X")*ISNUMBER('Registro Notas'!$D8:$R8))=0, "-", SUMPRODUCT(('Matriz Criterios'!$H$17:$V$17="X")*ISNUMBER('Registro Notas'!$D8:$R8)*'Registro Notas'!$D8:$R8)/SUMPRODUCT(('Matriz Criterios'!$H$17:$V$17="X")*ISNUMBER('Registro Notas'!$D8:$R8)))</f>
        <v/>
      </c>
      <c r="O8" s="35">
        <f>IF(SUMPRODUCT(('Matriz Criterios'!$H$18:$V$18="X")*ISNUMBER('Registro Notas'!$D8:$R8))=0, "-", SUMPRODUCT(('Matriz Criterios'!$H$18:$V$18="X")*ISNUMBER('Registro Notas'!$D8:$R8)*'Registro Notas'!$D8:$R8)/SUMPRODUCT(('Matriz Criterios'!$H$18:$V$18="X")*ISNUMBER('Registro Notas'!$D8:$R8)))</f>
        <v/>
      </c>
      <c r="P8" s="35">
        <f>IF(SUMPRODUCT(('Matriz Criterios'!$H$19:$V$19="X")*ISNUMBER('Registro Notas'!$D8:$R8))=0, "-", SUMPRODUCT(('Matriz Criterios'!$H$19:$V$19="X")*ISNUMBER('Registro Notas'!$D8:$R8)*'Registro Notas'!$D8:$R8)/SUMPRODUCT(('Matriz Criterios'!$H$19:$V$19="X")*ISNUMBER('Registro Notas'!$D8:$R8)))</f>
        <v/>
      </c>
      <c r="Q8" s="35">
        <f>IF(SUMPRODUCT(('Matriz Criterios'!$H$20:$V$20="X")*ISNUMBER('Registro Notas'!$D8:$R8))=0, "-", SUMPRODUCT(('Matriz Criterios'!$H$20:$V$20="X")*ISNUMBER('Registro Notas'!$D8:$R8)*'Registro Notas'!$D8:$R8)/SUMPRODUCT(('Matriz Criterios'!$H$20:$V$20="X")*ISNUMBER('Registro Notas'!$D8:$R8)))</f>
        <v/>
      </c>
      <c r="R8" s="35">
        <f>IF(SUMPRODUCT(('Matriz Criterios'!$H$21:$V$21="X")*ISNUMBER('Registro Notas'!$D8:$R8))=0, "-", SUMPRODUCT(('Matriz Criterios'!$H$21:$V$21="X")*ISNUMBER('Registro Notas'!$D8:$R8)*'Registro Notas'!$D8:$R8)/SUMPRODUCT(('Matriz Criterios'!$H$21:$V$21="X")*ISNUMBER('Registro Notas'!$D8:$R8)))</f>
        <v/>
      </c>
      <c r="S8" s="35">
        <f>IF(SUMPRODUCT(('Matriz Criterios'!$H$22:$V$22="X")*ISNUMBER('Registro Notas'!$D8:$R8))=0, "-", SUMPRODUCT(('Matriz Criterios'!$H$22:$V$22="X")*ISNUMBER('Registro Notas'!$D8:$R8)*'Registro Notas'!$D8:$R8)/SUMPRODUCT(('Matriz Criterios'!$H$22:$V$22="X")*ISNUMBER('Registro Notas'!$D8:$R8)))</f>
        <v/>
      </c>
      <c r="T8" s="35">
        <f>IF(SUMPRODUCT(('Matriz Criterios'!$H$23:$V$23="X")*ISNUMBER('Registro Notas'!$D8:$R8))=0, "-", SUMPRODUCT(('Matriz Criterios'!$H$23:$V$23="X")*ISNUMBER('Registro Notas'!$D8:$R8)*'Registro Notas'!$D8:$R8)/SUMPRODUCT(('Matriz Criterios'!$H$23:$V$23="X")*ISNUMBER('Registro Notas'!$D8:$R8)))</f>
        <v/>
      </c>
      <c r="U8" s="35">
        <f>IF(SUMPRODUCT(('Matriz Criterios'!$H$24:$V$24="X")*ISNUMBER('Registro Notas'!$D8:$R8))=0, "-", SUMPRODUCT(('Matriz Criterios'!$H$24:$V$24="X")*ISNUMBER('Registro Notas'!$D8:$R8)*'Registro Notas'!$D8:$R8)/SUMPRODUCT(('Matriz Criterios'!$H$24:$V$24="X")*ISNUMBER('Registro Notas'!$D8:$R8)))</f>
        <v/>
      </c>
      <c r="V8" s="35">
        <f>IF(SUMPRODUCT(('Matriz Criterios'!$H$25:$V$25="X")*ISNUMBER('Registro Notas'!$D8:$R8))=0, "-", SUMPRODUCT(('Matriz Criterios'!$H$25:$V$25="X")*ISNUMBER('Registro Notas'!$D8:$R8)*'Registro Notas'!$D8:$R8)/SUMPRODUCT(('Matriz Criterios'!$H$25:$V$25="X")*ISNUMBER('Registro Notas'!$D8:$R8)))</f>
        <v/>
      </c>
      <c r="W8" s="35">
        <f>IF(SUMPRODUCT(('Matriz Criterios'!$H$26:$V$26="X")*ISNUMBER('Registro Notas'!$D8:$R8))=0, "-", SUMPRODUCT(('Matriz Criterios'!$H$26:$V$26="X")*ISNUMBER('Registro Notas'!$D8:$R8)*'Registro Notas'!$D8:$R8)/SUMPRODUCT(('Matriz Criterios'!$H$26:$V$26="X")*ISNUMBER('Registro Notas'!$D8:$R8)))</f>
        <v/>
      </c>
      <c r="X8" s="35">
        <f>IF(SUMPRODUCT(('Matriz Criterios'!$H$27:$V$27="X")*ISNUMBER('Registro Notas'!$D8:$R8))=0, "-", SUMPRODUCT(('Matriz Criterios'!$H$27:$V$27="X")*ISNUMBER('Registro Notas'!$D8:$R8)*'Registro Notas'!$D8:$R8)/SUMPRODUCT(('Matriz Criterios'!$H$27:$V$27="X")*ISNUMBER('Registro Notas'!$D8:$R8)))</f>
        <v/>
      </c>
      <c r="Y8" s="35">
        <f>IF(SUMPRODUCT(('Matriz Criterios'!$H$28:$V$28="X")*ISNUMBER('Registro Notas'!$D8:$R8))=0, "-", SUMPRODUCT(('Matriz Criterios'!$H$28:$V$28="X")*ISNUMBER('Registro Notas'!$D8:$R8)*'Registro Notas'!$D8:$R8)/SUMPRODUCT(('Matriz Criterios'!$H$28:$V$28="X")*ISNUMBER('Registro Notas'!$D8:$R8)))</f>
        <v/>
      </c>
      <c r="Z8" s="35">
        <f>IF(SUMPRODUCT(('Matriz Criterios'!$H$29:$V$29="X")*ISNUMBER('Registro Notas'!$D8:$R8))=0, "-", SUMPRODUCT(('Matriz Criterios'!$H$29:$V$29="X")*ISNUMBER('Registro Notas'!$D8:$R8)*'Registro Notas'!$D8:$R8)/SUMPRODUCT(('Matriz Criterios'!$H$29:$V$29="X")*ISNUMBER('Registro Notas'!$D8:$R8)))</f>
        <v/>
      </c>
      <c r="AA8" s="35">
        <f>IF(SUMPRODUCT(('Matriz Criterios'!$H$30:$V$30="X")*ISNUMBER('Registro Notas'!$D8:$R8))=0, "-", SUMPRODUCT(('Matriz Criterios'!$H$30:$V$30="X")*ISNUMBER('Registro Notas'!$D8:$R8)*'Registro Notas'!$D8:$R8)/SUMPRODUCT(('Matriz Criterios'!$H$30:$V$30="X")*ISNUMBER('Registro Notas'!$D8:$R8)))</f>
        <v/>
      </c>
      <c r="AB8" s="35">
        <f>IF(SUMPRODUCT(('Matriz Criterios'!$H$31:$V$31="X")*ISNUMBER('Registro Notas'!$D8:$R8))=0, "-", SUMPRODUCT(('Matriz Criterios'!$H$31:$V$31="X")*ISNUMBER('Registro Notas'!$D8:$R8)*'Registro Notas'!$D8:$R8)/SUMPRODUCT(('Matriz Criterios'!$H$31:$V$31="X")*ISNUMBER('Registro Notas'!$D8:$R8)))</f>
        <v/>
      </c>
      <c r="AC8" s="35">
        <f>IF(SUMPRODUCT(('Matriz Criterios'!$H$32:$V$32="X")*ISNUMBER('Registro Notas'!$D8:$R8))=0, "-", SUMPRODUCT(('Matriz Criterios'!$H$32:$V$32="X")*ISNUMBER('Registro Notas'!$D8:$R8)*'Registro Notas'!$D8:$R8)/SUMPRODUCT(('Matriz Criterios'!$H$32:$V$32="X")*ISNUMBER('Registro Notas'!$D8:$R8)))</f>
        <v/>
      </c>
      <c r="AD8" s="35">
        <f>IF(SUMPRODUCT(('Matriz Criterios'!$H$33:$V$33="X")*ISNUMBER('Registro Notas'!$D8:$R8))=0, "-", SUMPRODUCT(('Matriz Criterios'!$H$33:$V$33="X")*ISNUMBER('Registro Notas'!$D8:$R8)*'Registro Notas'!$D8:$R8)/SUMPRODUCT(('Matriz Criterios'!$H$33:$V$33="X")*ISNUMBER('Registro Notas'!$D8:$R8)))</f>
        <v/>
      </c>
      <c r="AE8" s="35">
        <f>IF(SUMPRODUCT(('Matriz Criterios'!$H$34:$V$34="X")*ISNUMBER('Registro Notas'!$D8:$R8))=0, "-", SUMPRODUCT(('Matriz Criterios'!$H$34:$V$34="X")*ISNUMBER('Registro Notas'!$D8:$R8)*'Registro Notas'!$D8:$R8)/SUMPRODUCT(('Matriz Criterios'!$H$34:$V$34="X")*ISNUMBER('Registro Notas'!$D8:$R8)))</f>
        <v/>
      </c>
      <c r="AF8" s="35">
        <f>IF(SUMPRODUCT(('Matriz Criterios'!$H$35:$V$35="X")*ISNUMBER('Registro Notas'!$D8:$R8))=0, "-", SUMPRODUCT(('Matriz Criterios'!$H$35:$V$35="X")*ISNUMBER('Registro Notas'!$D8:$R8)*'Registro Notas'!$D8:$R8)/SUMPRODUCT(('Matriz Criterios'!$H$35:$V$35="X")*ISNUMBER('Registro Notas'!$D8:$R8)))</f>
        <v/>
      </c>
      <c r="AG8" s="35">
        <f>IF(SUMPRODUCT(('Matriz Criterios'!$H$36:$V$36="X")*ISNUMBER('Registro Notas'!$D8:$R8))=0, "-", SUMPRODUCT(('Matriz Criterios'!$H$36:$V$36="X")*ISNUMBER('Registro Notas'!$D8:$R8)*'Registro Notas'!$D8:$R8)/SUMPRODUCT(('Matriz Criterios'!$H$36:$V$36="X")*ISNUMBER('Registro Notas'!$D8:$R8)))</f>
        <v/>
      </c>
      <c r="AH8" s="35">
        <f>IF(SUMPRODUCT(('Matriz Criterios'!$H$37:$V$37="X")*ISNUMBER('Registro Notas'!$D8:$R8))=0, "-", SUMPRODUCT(('Matriz Criterios'!$H$37:$V$37="X")*ISNUMBER('Registro Notas'!$D8:$R8)*'Registro Notas'!$D8:$R8)/SUMPRODUCT(('Matriz Criterios'!$H$37:$V$37="X")*ISNUMBER('Registro Notas'!$D8:$R8)))</f>
        <v/>
      </c>
      <c r="AI8" s="35">
        <f>IF(SUMPRODUCT(('Matriz Criterios'!$H$38:$V$38="X")*ISNUMBER('Registro Notas'!$D8:$R8))=0, "-", SUMPRODUCT(('Matriz Criterios'!$H$38:$V$38="X")*ISNUMBER('Registro Notas'!$D8:$R8)*'Registro Notas'!$D8:$R8)/SUMPRODUCT(('Matriz Criterios'!$H$38:$V$38="X")*ISNUMBER('Registro Notas'!$D8:$R8)))</f>
        <v/>
      </c>
      <c r="AJ8" s="35">
        <f>IF(SUMPRODUCT(('Matriz Criterios'!$H$39:$V$39="X")*ISNUMBER('Registro Notas'!$D8:$R8))=0, "-", SUMPRODUCT(('Matriz Criterios'!$H$39:$V$39="X")*ISNUMBER('Registro Notas'!$D8:$R8)*'Registro Notas'!$D8:$R8)/SUMPRODUCT(('Matriz Criterios'!$H$39:$V$39="X")*ISNUMBER('Registro Notas'!$D8:$R8)))</f>
        <v/>
      </c>
      <c r="AK8" s="35">
        <f>IF(SUMPRODUCT(('Matriz Criterios'!$H$40:$V$40="X")*ISNUMBER('Registro Notas'!$D8:$R8))=0, "-", SUMPRODUCT(('Matriz Criterios'!$H$40:$V$40="X")*ISNUMBER('Registro Notas'!$D8:$R8)*'Registro Notas'!$D8:$R8)/SUMPRODUCT(('Matriz Criterios'!$H$40:$V$40="X")*ISNUMBER('Registro Notas'!$D8:$R8)))</f>
        <v/>
      </c>
      <c r="AL8" s="35">
        <f>IF(SUMPRODUCT(('Matriz Criterios'!$H$41:$V$41="X")*ISNUMBER('Registro Notas'!$D8:$R8))=0, "-", SUMPRODUCT(('Matriz Criterios'!$H$41:$V$41="X")*ISNUMBER('Registro Notas'!$D8:$R8)*'Registro Notas'!$D8:$R8)/SUMPRODUCT(('Matriz Criterios'!$H$41:$V$41="X")*ISNUMBER('Registro Notas'!$D8:$R8)))</f>
        <v/>
      </c>
      <c r="AM8" s="35">
        <f>IF(SUMPRODUCT(('Matriz Criterios'!$H$42:$V$42="X")*ISNUMBER('Registro Notas'!$D8:$R8))=0, "-", SUMPRODUCT(('Matriz Criterios'!$H$42:$V$42="X")*ISNUMBER('Registro Notas'!$D8:$R8)*'Registro Notas'!$D8:$R8)/SUMPRODUCT(('Matriz Criterios'!$H$42:$V$42="X")*ISNUMBER('Registro Notas'!$D8:$R8)))</f>
        <v/>
      </c>
      <c r="AN8" s="35">
        <f>IF(SUMPRODUCT(('Matriz Criterios'!$H$43:$V$43="X")*ISNUMBER('Registro Notas'!$D8:$R8))=0, "-", SUMPRODUCT(('Matriz Criterios'!$H$43:$V$43="X")*ISNUMBER('Registro Notas'!$D8:$R8)*'Registro Notas'!$D8:$R8)/SUMPRODUCT(('Matriz Criterios'!$H$43:$V$43="X")*ISNUMBER('Registro Notas'!$D8:$R8)))</f>
        <v/>
      </c>
      <c r="AO8" s="35">
        <f>IF(SUMPRODUCT(('Matriz Criterios'!$H$44:$V$44="X")*ISNUMBER('Registro Notas'!$D8:$R8))=0, "-", SUMPRODUCT(('Matriz Criterios'!$H$44:$V$44="X")*ISNUMBER('Registro Notas'!$D8:$R8)*'Registro Notas'!$D8:$R8)/SUMPRODUCT(('Matriz Criterios'!$H$44:$V$44="X")*ISNUMBER('Registro Notas'!$D8:$R8)))</f>
        <v/>
      </c>
      <c r="AP8" s="35">
        <f>IF(SUMPRODUCT(('Matriz Criterios'!$H$45:$V$45="X")*ISNUMBER('Registro Notas'!$D8:$R8))=0, "-", SUMPRODUCT(('Matriz Criterios'!$H$45:$V$45="X")*ISNUMBER('Registro Notas'!$D8:$R8)*'Registro Notas'!$D8:$R8)/SUMPRODUCT(('Matriz Criterios'!$H$45:$V$45="X")*ISNUMBER('Registro Notas'!$D8:$R8)))</f>
        <v/>
      </c>
      <c r="AQ8" s="49">
        <f>AVERAGE(C8:AP8)</f>
        <v/>
      </c>
      <c r="AR8" s="50">
        <f>COUNTIF(C8:AP8, "&gt;=5")</f>
        <v/>
      </c>
    </row>
    <row r="9" ht="20" customHeight="1">
      <c r="A9" s="21" t="n">
        <v>4</v>
      </c>
      <c r="B9" s="38" t="inlineStr">
        <is>
          <t>Delgado Santos, Alejandro</t>
        </is>
      </c>
      <c r="C9" s="39">
        <f>IF(SUMPRODUCT(('Matriz Criterios'!$H$6:$V$6="X")*ISNUMBER('Registro Notas'!$D9:$R9))=0, "-", SUMPRODUCT(('Matriz Criterios'!$H$6:$V$6="X")*ISNUMBER('Registro Notas'!$D9:$R9)*'Registro Notas'!$D9:$R9)/SUMPRODUCT(('Matriz Criterios'!$H$6:$V$6="X")*ISNUMBER('Registro Notas'!$D9:$R9)))</f>
        <v/>
      </c>
      <c r="D9" s="39">
        <f>IF(SUMPRODUCT(('Matriz Criterios'!$H$7:$V$7="X")*ISNUMBER('Registro Notas'!$D9:$R9))=0, "-", SUMPRODUCT(('Matriz Criterios'!$H$7:$V$7="X")*ISNUMBER('Registro Notas'!$D9:$R9)*'Registro Notas'!$D9:$R9)/SUMPRODUCT(('Matriz Criterios'!$H$7:$V$7="X")*ISNUMBER('Registro Notas'!$D9:$R9)))</f>
        <v/>
      </c>
      <c r="E9" s="39">
        <f>IF(SUMPRODUCT(('Matriz Criterios'!$H$8:$V$8="X")*ISNUMBER('Registro Notas'!$D9:$R9))=0, "-", SUMPRODUCT(('Matriz Criterios'!$H$8:$V$8="X")*ISNUMBER('Registro Notas'!$D9:$R9)*'Registro Notas'!$D9:$R9)/SUMPRODUCT(('Matriz Criterios'!$H$8:$V$8="X")*ISNUMBER('Registro Notas'!$D9:$R9)))</f>
        <v/>
      </c>
      <c r="F9" s="39">
        <f>IF(SUMPRODUCT(('Matriz Criterios'!$H$9:$V$9="X")*ISNUMBER('Registro Notas'!$D9:$R9))=0, "-", SUMPRODUCT(('Matriz Criterios'!$H$9:$V$9="X")*ISNUMBER('Registro Notas'!$D9:$R9)*'Registro Notas'!$D9:$R9)/SUMPRODUCT(('Matriz Criterios'!$H$9:$V$9="X")*ISNUMBER('Registro Notas'!$D9:$R9)))</f>
        <v/>
      </c>
      <c r="G9" s="39">
        <f>IF(SUMPRODUCT(('Matriz Criterios'!$H$10:$V$10="X")*ISNUMBER('Registro Notas'!$D9:$R9))=0, "-", SUMPRODUCT(('Matriz Criterios'!$H$10:$V$10="X")*ISNUMBER('Registro Notas'!$D9:$R9)*'Registro Notas'!$D9:$R9)/SUMPRODUCT(('Matriz Criterios'!$H$10:$V$10="X")*ISNUMBER('Registro Notas'!$D9:$R9)))</f>
        <v/>
      </c>
      <c r="H9" s="39">
        <f>IF(SUMPRODUCT(('Matriz Criterios'!$H$11:$V$11="X")*ISNUMBER('Registro Notas'!$D9:$R9))=0, "-", SUMPRODUCT(('Matriz Criterios'!$H$11:$V$11="X")*ISNUMBER('Registro Notas'!$D9:$R9)*'Registro Notas'!$D9:$R9)/SUMPRODUCT(('Matriz Criterios'!$H$11:$V$11="X")*ISNUMBER('Registro Notas'!$D9:$R9)))</f>
        <v/>
      </c>
      <c r="I9" s="39">
        <f>IF(SUMPRODUCT(('Matriz Criterios'!$H$12:$V$12="X")*ISNUMBER('Registro Notas'!$D9:$R9))=0, "-", SUMPRODUCT(('Matriz Criterios'!$H$12:$V$12="X")*ISNUMBER('Registro Notas'!$D9:$R9)*'Registro Notas'!$D9:$R9)/SUMPRODUCT(('Matriz Criterios'!$H$12:$V$12="X")*ISNUMBER('Registro Notas'!$D9:$R9)))</f>
        <v/>
      </c>
      <c r="J9" s="39">
        <f>IF(SUMPRODUCT(('Matriz Criterios'!$H$13:$V$13="X")*ISNUMBER('Registro Notas'!$D9:$R9))=0, "-", SUMPRODUCT(('Matriz Criterios'!$H$13:$V$13="X")*ISNUMBER('Registro Notas'!$D9:$R9)*'Registro Notas'!$D9:$R9)/SUMPRODUCT(('Matriz Criterios'!$H$13:$V$13="X")*ISNUMBER('Registro Notas'!$D9:$R9)))</f>
        <v/>
      </c>
      <c r="K9" s="39">
        <f>IF(SUMPRODUCT(('Matriz Criterios'!$H$14:$V$14="X")*ISNUMBER('Registro Notas'!$D9:$R9))=0, "-", SUMPRODUCT(('Matriz Criterios'!$H$14:$V$14="X")*ISNUMBER('Registro Notas'!$D9:$R9)*'Registro Notas'!$D9:$R9)/SUMPRODUCT(('Matriz Criterios'!$H$14:$V$14="X")*ISNUMBER('Registro Notas'!$D9:$R9)))</f>
        <v/>
      </c>
      <c r="L9" s="39">
        <f>IF(SUMPRODUCT(('Matriz Criterios'!$H$15:$V$15="X")*ISNUMBER('Registro Notas'!$D9:$R9))=0, "-", SUMPRODUCT(('Matriz Criterios'!$H$15:$V$15="X")*ISNUMBER('Registro Notas'!$D9:$R9)*'Registro Notas'!$D9:$R9)/SUMPRODUCT(('Matriz Criterios'!$H$15:$V$15="X")*ISNUMBER('Registro Notas'!$D9:$R9)))</f>
        <v/>
      </c>
      <c r="M9" s="39">
        <f>IF(SUMPRODUCT(('Matriz Criterios'!$H$16:$V$16="X")*ISNUMBER('Registro Notas'!$D9:$R9))=0, "-", SUMPRODUCT(('Matriz Criterios'!$H$16:$V$16="X")*ISNUMBER('Registro Notas'!$D9:$R9)*'Registro Notas'!$D9:$R9)/SUMPRODUCT(('Matriz Criterios'!$H$16:$V$16="X")*ISNUMBER('Registro Notas'!$D9:$R9)))</f>
        <v/>
      </c>
      <c r="N9" s="39">
        <f>IF(SUMPRODUCT(('Matriz Criterios'!$H$17:$V$17="X")*ISNUMBER('Registro Notas'!$D9:$R9))=0, "-", SUMPRODUCT(('Matriz Criterios'!$H$17:$V$17="X")*ISNUMBER('Registro Notas'!$D9:$R9)*'Registro Notas'!$D9:$R9)/SUMPRODUCT(('Matriz Criterios'!$H$17:$V$17="X")*ISNUMBER('Registro Notas'!$D9:$R9)))</f>
        <v/>
      </c>
      <c r="O9" s="39">
        <f>IF(SUMPRODUCT(('Matriz Criterios'!$H$18:$V$18="X")*ISNUMBER('Registro Notas'!$D9:$R9))=0, "-", SUMPRODUCT(('Matriz Criterios'!$H$18:$V$18="X")*ISNUMBER('Registro Notas'!$D9:$R9)*'Registro Notas'!$D9:$R9)/SUMPRODUCT(('Matriz Criterios'!$H$18:$V$18="X")*ISNUMBER('Registro Notas'!$D9:$R9)))</f>
        <v/>
      </c>
      <c r="P9" s="39">
        <f>IF(SUMPRODUCT(('Matriz Criterios'!$H$19:$V$19="X")*ISNUMBER('Registro Notas'!$D9:$R9))=0, "-", SUMPRODUCT(('Matriz Criterios'!$H$19:$V$19="X")*ISNUMBER('Registro Notas'!$D9:$R9)*'Registro Notas'!$D9:$R9)/SUMPRODUCT(('Matriz Criterios'!$H$19:$V$19="X")*ISNUMBER('Registro Notas'!$D9:$R9)))</f>
        <v/>
      </c>
      <c r="Q9" s="39">
        <f>IF(SUMPRODUCT(('Matriz Criterios'!$H$20:$V$20="X")*ISNUMBER('Registro Notas'!$D9:$R9))=0, "-", SUMPRODUCT(('Matriz Criterios'!$H$20:$V$20="X")*ISNUMBER('Registro Notas'!$D9:$R9)*'Registro Notas'!$D9:$R9)/SUMPRODUCT(('Matriz Criterios'!$H$20:$V$20="X")*ISNUMBER('Registro Notas'!$D9:$R9)))</f>
        <v/>
      </c>
      <c r="R9" s="39">
        <f>IF(SUMPRODUCT(('Matriz Criterios'!$H$21:$V$21="X")*ISNUMBER('Registro Notas'!$D9:$R9))=0, "-", SUMPRODUCT(('Matriz Criterios'!$H$21:$V$21="X")*ISNUMBER('Registro Notas'!$D9:$R9)*'Registro Notas'!$D9:$R9)/SUMPRODUCT(('Matriz Criterios'!$H$21:$V$21="X")*ISNUMBER('Registro Notas'!$D9:$R9)))</f>
        <v/>
      </c>
      <c r="S9" s="39">
        <f>IF(SUMPRODUCT(('Matriz Criterios'!$H$22:$V$22="X")*ISNUMBER('Registro Notas'!$D9:$R9))=0, "-", SUMPRODUCT(('Matriz Criterios'!$H$22:$V$22="X")*ISNUMBER('Registro Notas'!$D9:$R9)*'Registro Notas'!$D9:$R9)/SUMPRODUCT(('Matriz Criterios'!$H$22:$V$22="X")*ISNUMBER('Registro Notas'!$D9:$R9)))</f>
        <v/>
      </c>
      <c r="T9" s="39">
        <f>IF(SUMPRODUCT(('Matriz Criterios'!$H$23:$V$23="X")*ISNUMBER('Registro Notas'!$D9:$R9))=0, "-", SUMPRODUCT(('Matriz Criterios'!$H$23:$V$23="X")*ISNUMBER('Registro Notas'!$D9:$R9)*'Registro Notas'!$D9:$R9)/SUMPRODUCT(('Matriz Criterios'!$H$23:$V$23="X")*ISNUMBER('Registro Notas'!$D9:$R9)))</f>
        <v/>
      </c>
      <c r="U9" s="39">
        <f>IF(SUMPRODUCT(('Matriz Criterios'!$H$24:$V$24="X")*ISNUMBER('Registro Notas'!$D9:$R9))=0, "-", SUMPRODUCT(('Matriz Criterios'!$H$24:$V$24="X")*ISNUMBER('Registro Notas'!$D9:$R9)*'Registro Notas'!$D9:$R9)/SUMPRODUCT(('Matriz Criterios'!$H$24:$V$24="X")*ISNUMBER('Registro Notas'!$D9:$R9)))</f>
        <v/>
      </c>
      <c r="V9" s="39">
        <f>IF(SUMPRODUCT(('Matriz Criterios'!$H$25:$V$25="X")*ISNUMBER('Registro Notas'!$D9:$R9))=0, "-", SUMPRODUCT(('Matriz Criterios'!$H$25:$V$25="X")*ISNUMBER('Registro Notas'!$D9:$R9)*'Registro Notas'!$D9:$R9)/SUMPRODUCT(('Matriz Criterios'!$H$25:$V$25="X")*ISNUMBER('Registro Notas'!$D9:$R9)))</f>
        <v/>
      </c>
      <c r="W9" s="39">
        <f>IF(SUMPRODUCT(('Matriz Criterios'!$H$26:$V$26="X")*ISNUMBER('Registro Notas'!$D9:$R9))=0, "-", SUMPRODUCT(('Matriz Criterios'!$H$26:$V$26="X")*ISNUMBER('Registro Notas'!$D9:$R9)*'Registro Notas'!$D9:$R9)/SUMPRODUCT(('Matriz Criterios'!$H$26:$V$26="X")*ISNUMBER('Registro Notas'!$D9:$R9)))</f>
        <v/>
      </c>
      <c r="X9" s="39">
        <f>IF(SUMPRODUCT(('Matriz Criterios'!$H$27:$V$27="X")*ISNUMBER('Registro Notas'!$D9:$R9))=0, "-", SUMPRODUCT(('Matriz Criterios'!$H$27:$V$27="X")*ISNUMBER('Registro Notas'!$D9:$R9)*'Registro Notas'!$D9:$R9)/SUMPRODUCT(('Matriz Criterios'!$H$27:$V$27="X")*ISNUMBER('Registro Notas'!$D9:$R9)))</f>
        <v/>
      </c>
      <c r="Y9" s="39">
        <f>IF(SUMPRODUCT(('Matriz Criterios'!$H$28:$V$28="X")*ISNUMBER('Registro Notas'!$D9:$R9))=0, "-", SUMPRODUCT(('Matriz Criterios'!$H$28:$V$28="X")*ISNUMBER('Registro Notas'!$D9:$R9)*'Registro Notas'!$D9:$R9)/SUMPRODUCT(('Matriz Criterios'!$H$28:$V$28="X")*ISNUMBER('Registro Notas'!$D9:$R9)))</f>
        <v/>
      </c>
      <c r="Z9" s="39">
        <f>IF(SUMPRODUCT(('Matriz Criterios'!$H$29:$V$29="X")*ISNUMBER('Registro Notas'!$D9:$R9))=0, "-", SUMPRODUCT(('Matriz Criterios'!$H$29:$V$29="X")*ISNUMBER('Registro Notas'!$D9:$R9)*'Registro Notas'!$D9:$R9)/SUMPRODUCT(('Matriz Criterios'!$H$29:$V$29="X")*ISNUMBER('Registro Notas'!$D9:$R9)))</f>
        <v/>
      </c>
      <c r="AA9" s="39">
        <f>IF(SUMPRODUCT(('Matriz Criterios'!$H$30:$V$30="X")*ISNUMBER('Registro Notas'!$D9:$R9))=0, "-", SUMPRODUCT(('Matriz Criterios'!$H$30:$V$30="X")*ISNUMBER('Registro Notas'!$D9:$R9)*'Registro Notas'!$D9:$R9)/SUMPRODUCT(('Matriz Criterios'!$H$30:$V$30="X")*ISNUMBER('Registro Notas'!$D9:$R9)))</f>
        <v/>
      </c>
      <c r="AB9" s="39">
        <f>IF(SUMPRODUCT(('Matriz Criterios'!$H$31:$V$31="X")*ISNUMBER('Registro Notas'!$D9:$R9))=0, "-", SUMPRODUCT(('Matriz Criterios'!$H$31:$V$31="X")*ISNUMBER('Registro Notas'!$D9:$R9)*'Registro Notas'!$D9:$R9)/SUMPRODUCT(('Matriz Criterios'!$H$31:$V$31="X")*ISNUMBER('Registro Notas'!$D9:$R9)))</f>
        <v/>
      </c>
      <c r="AC9" s="39">
        <f>IF(SUMPRODUCT(('Matriz Criterios'!$H$32:$V$32="X")*ISNUMBER('Registro Notas'!$D9:$R9))=0, "-", SUMPRODUCT(('Matriz Criterios'!$H$32:$V$32="X")*ISNUMBER('Registro Notas'!$D9:$R9)*'Registro Notas'!$D9:$R9)/SUMPRODUCT(('Matriz Criterios'!$H$32:$V$32="X")*ISNUMBER('Registro Notas'!$D9:$R9)))</f>
        <v/>
      </c>
      <c r="AD9" s="39">
        <f>IF(SUMPRODUCT(('Matriz Criterios'!$H$33:$V$33="X")*ISNUMBER('Registro Notas'!$D9:$R9))=0, "-", SUMPRODUCT(('Matriz Criterios'!$H$33:$V$33="X")*ISNUMBER('Registro Notas'!$D9:$R9)*'Registro Notas'!$D9:$R9)/SUMPRODUCT(('Matriz Criterios'!$H$33:$V$33="X")*ISNUMBER('Registro Notas'!$D9:$R9)))</f>
        <v/>
      </c>
      <c r="AE9" s="39">
        <f>IF(SUMPRODUCT(('Matriz Criterios'!$H$34:$V$34="X")*ISNUMBER('Registro Notas'!$D9:$R9))=0, "-", SUMPRODUCT(('Matriz Criterios'!$H$34:$V$34="X")*ISNUMBER('Registro Notas'!$D9:$R9)*'Registro Notas'!$D9:$R9)/SUMPRODUCT(('Matriz Criterios'!$H$34:$V$34="X")*ISNUMBER('Registro Notas'!$D9:$R9)))</f>
        <v/>
      </c>
      <c r="AF9" s="39">
        <f>IF(SUMPRODUCT(('Matriz Criterios'!$H$35:$V$35="X")*ISNUMBER('Registro Notas'!$D9:$R9))=0, "-", SUMPRODUCT(('Matriz Criterios'!$H$35:$V$35="X")*ISNUMBER('Registro Notas'!$D9:$R9)*'Registro Notas'!$D9:$R9)/SUMPRODUCT(('Matriz Criterios'!$H$35:$V$35="X")*ISNUMBER('Registro Notas'!$D9:$R9)))</f>
        <v/>
      </c>
      <c r="AG9" s="39">
        <f>IF(SUMPRODUCT(('Matriz Criterios'!$H$36:$V$36="X")*ISNUMBER('Registro Notas'!$D9:$R9))=0, "-", SUMPRODUCT(('Matriz Criterios'!$H$36:$V$36="X")*ISNUMBER('Registro Notas'!$D9:$R9)*'Registro Notas'!$D9:$R9)/SUMPRODUCT(('Matriz Criterios'!$H$36:$V$36="X")*ISNUMBER('Registro Notas'!$D9:$R9)))</f>
        <v/>
      </c>
      <c r="AH9" s="39">
        <f>IF(SUMPRODUCT(('Matriz Criterios'!$H$37:$V$37="X")*ISNUMBER('Registro Notas'!$D9:$R9))=0, "-", SUMPRODUCT(('Matriz Criterios'!$H$37:$V$37="X")*ISNUMBER('Registro Notas'!$D9:$R9)*'Registro Notas'!$D9:$R9)/SUMPRODUCT(('Matriz Criterios'!$H$37:$V$37="X")*ISNUMBER('Registro Notas'!$D9:$R9)))</f>
        <v/>
      </c>
      <c r="AI9" s="39">
        <f>IF(SUMPRODUCT(('Matriz Criterios'!$H$38:$V$38="X")*ISNUMBER('Registro Notas'!$D9:$R9))=0, "-", SUMPRODUCT(('Matriz Criterios'!$H$38:$V$38="X")*ISNUMBER('Registro Notas'!$D9:$R9)*'Registro Notas'!$D9:$R9)/SUMPRODUCT(('Matriz Criterios'!$H$38:$V$38="X")*ISNUMBER('Registro Notas'!$D9:$R9)))</f>
        <v/>
      </c>
      <c r="AJ9" s="39">
        <f>IF(SUMPRODUCT(('Matriz Criterios'!$H$39:$V$39="X")*ISNUMBER('Registro Notas'!$D9:$R9))=0, "-", SUMPRODUCT(('Matriz Criterios'!$H$39:$V$39="X")*ISNUMBER('Registro Notas'!$D9:$R9)*'Registro Notas'!$D9:$R9)/SUMPRODUCT(('Matriz Criterios'!$H$39:$V$39="X")*ISNUMBER('Registro Notas'!$D9:$R9)))</f>
        <v/>
      </c>
      <c r="AK9" s="39">
        <f>IF(SUMPRODUCT(('Matriz Criterios'!$H$40:$V$40="X")*ISNUMBER('Registro Notas'!$D9:$R9))=0, "-", SUMPRODUCT(('Matriz Criterios'!$H$40:$V$40="X")*ISNUMBER('Registro Notas'!$D9:$R9)*'Registro Notas'!$D9:$R9)/SUMPRODUCT(('Matriz Criterios'!$H$40:$V$40="X")*ISNUMBER('Registro Notas'!$D9:$R9)))</f>
        <v/>
      </c>
      <c r="AL9" s="39">
        <f>IF(SUMPRODUCT(('Matriz Criterios'!$H$41:$V$41="X")*ISNUMBER('Registro Notas'!$D9:$R9))=0, "-", SUMPRODUCT(('Matriz Criterios'!$H$41:$V$41="X")*ISNUMBER('Registro Notas'!$D9:$R9)*'Registro Notas'!$D9:$R9)/SUMPRODUCT(('Matriz Criterios'!$H$41:$V$41="X")*ISNUMBER('Registro Notas'!$D9:$R9)))</f>
        <v/>
      </c>
      <c r="AM9" s="39">
        <f>IF(SUMPRODUCT(('Matriz Criterios'!$H$42:$V$42="X")*ISNUMBER('Registro Notas'!$D9:$R9))=0, "-", SUMPRODUCT(('Matriz Criterios'!$H$42:$V$42="X")*ISNUMBER('Registro Notas'!$D9:$R9)*'Registro Notas'!$D9:$R9)/SUMPRODUCT(('Matriz Criterios'!$H$42:$V$42="X")*ISNUMBER('Registro Notas'!$D9:$R9)))</f>
        <v/>
      </c>
      <c r="AN9" s="39">
        <f>IF(SUMPRODUCT(('Matriz Criterios'!$H$43:$V$43="X")*ISNUMBER('Registro Notas'!$D9:$R9))=0, "-", SUMPRODUCT(('Matriz Criterios'!$H$43:$V$43="X")*ISNUMBER('Registro Notas'!$D9:$R9)*'Registro Notas'!$D9:$R9)/SUMPRODUCT(('Matriz Criterios'!$H$43:$V$43="X")*ISNUMBER('Registro Notas'!$D9:$R9)))</f>
        <v/>
      </c>
      <c r="AO9" s="39">
        <f>IF(SUMPRODUCT(('Matriz Criterios'!$H$44:$V$44="X")*ISNUMBER('Registro Notas'!$D9:$R9))=0, "-", SUMPRODUCT(('Matriz Criterios'!$H$44:$V$44="X")*ISNUMBER('Registro Notas'!$D9:$R9)*'Registro Notas'!$D9:$R9)/SUMPRODUCT(('Matriz Criterios'!$H$44:$V$44="X")*ISNUMBER('Registro Notas'!$D9:$R9)))</f>
        <v/>
      </c>
      <c r="AP9" s="39">
        <f>IF(SUMPRODUCT(('Matriz Criterios'!$H$45:$V$45="X")*ISNUMBER('Registro Notas'!$D9:$R9))=0, "-", SUMPRODUCT(('Matriz Criterios'!$H$45:$V$45="X")*ISNUMBER('Registro Notas'!$D9:$R9)*'Registro Notas'!$D9:$R9)/SUMPRODUCT(('Matriz Criterios'!$H$45:$V$45="X")*ISNUMBER('Registro Notas'!$D9:$R9)))</f>
        <v/>
      </c>
      <c r="AQ9" s="49">
        <f>AVERAGE(C9:AP9)</f>
        <v/>
      </c>
      <c r="AR9" s="50">
        <f>COUNTIF(C9:AP9, "&gt;=5")</f>
        <v/>
      </c>
    </row>
    <row r="10" ht="20" customHeight="1">
      <c r="A10" s="13" t="n">
        <v>5</v>
      </c>
      <c r="B10" s="34" t="inlineStr">
        <is>
          <t>Fernández Navarro, Lucía</t>
        </is>
      </c>
      <c r="C10" s="35">
        <f>IF(SUMPRODUCT(('Matriz Criterios'!$H$6:$V$6="X")*ISNUMBER('Registro Notas'!$D10:$R10))=0, "-", SUMPRODUCT(('Matriz Criterios'!$H$6:$V$6="X")*ISNUMBER('Registro Notas'!$D10:$R10)*'Registro Notas'!$D10:$R10)/SUMPRODUCT(('Matriz Criterios'!$H$6:$V$6="X")*ISNUMBER('Registro Notas'!$D10:$R10)))</f>
        <v/>
      </c>
      <c r="D10" s="35">
        <f>IF(SUMPRODUCT(('Matriz Criterios'!$H$7:$V$7="X")*ISNUMBER('Registro Notas'!$D10:$R10))=0, "-", SUMPRODUCT(('Matriz Criterios'!$H$7:$V$7="X")*ISNUMBER('Registro Notas'!$D10:$R10)*'Registro Notas'!$D10:$R10)/SUMPRODUCT(('Matriz Criterios'!$H$7:$V$7="X")*ISNUMBER('Registro Notas'!$D10:$R10)))</f>
        <v/>
      </c>
      <c r="E10" s="35">
        <f>IF(SUMPRODUCT(('Matriz Criterios'!$H$8:$V$8="X")*ISNUMBER('Registro Notas'!$D10:$R10))=0, "-", SUMPRODUCT(('Matriz Criterios'!$H$8:$V$8="X")*ISNUMBER('Registro Notas'!$D10:$R10)*'Registro Notas'!$D10:$R10)/SUMPRODUCT(('Matriz Criterios'!$H$8:$V$8="X")*ISNUMBER('Registro Notas'!$D10:$R10)))</f>
        <v/>
      </c>
      <c r="F10" s="35">
        <f>IF(SUMPRODUCT(('Matriz Criterios'!$H$9:$V$9="X")*ISNUMBER('Registro Notas'!$D10:$R10))=0, "-", SUMPRODUCT(('Matriz Criterios'!$H$9:$V$9="X")*ISNUMBER('Registro Notas'!$D10:$R10)*'Registro Notas'!$D10:$R10)/SUMPRODUCT(('Matriz Criterios'!$H$9:$V$9="X")*ISNUMBER('Registro Notas'!$D10:$R10)))</f>
        <v/>
      </c>
      <c r="G10" s="35">
        <f>IF(SUMPRODUCT(('Matriz Criterios'!$H$10:$V$10="X")*ISNUMBER('Registro Notas'!$D10:$R10))=0, "-", SUMPRODUCT(('Matriz Criterios'!$H$10:$V$10="X")*ISNUMBER('Registro Notas'!$D10:$R10)*'Registro Notas'!$D10:$R10)/SUMPRODUCT(('Matriz Criterios'!$H$10:$V$10="X")*ISNUMBER('Registro Notas'!$D10:$R10)))</f>
        <v/>
      </c>
      <c r="H10" s="35">
        <f>IF(SUMPRODUCT(('Matriz Criterios'!$H$11:$V$11="X")*ISNUMBER('Registro Notas'!$D10:$R10))=0, "-", SUMPRODUCT(('Matriz Criterios'!$H$11:$V$11="X")*ISNUMBER('Registro Notas'!$D10:$R10)*'Registro Notas'!$D10:$R10)/SUMPRODUCT(('Matriz Criterios'!$H$11:$V$11="X")*ISNUMBER('Registro Notas'!$D10:$R10)))</f>
        <v/>
      </c>
      <c r="I10" s="35">
        <f>IF(SUMPRODUCT(('Matriz Criterios'!$H$12:$V$12="X")*ISNUMBER('Registro Notas'!$D10:$R10))=0, "-", SUMPRODUCT(('Matriz Criterios'!$H$12:$V$12="X")*ISNUMBER('Registro Notas'!$D10:$R10)*'Registro Notas'!$D10:$R10)/SUMPRODUCT(('Matriz Criterios'!$H$12:$V$12="X")*ISNUMBER('Registro Notas'!$D10:$R10)))</f>
        <v/>
      </c>
      <c r="J10" s="35">
        <f>IF(SUMPRODUCT(('Matriz Criterios'!$H$13:$V$13="X")*ISNUMBER('Registro Notas'!$D10:$R10))=0, "-", SUMPRODUCT(('Matriz Criterios'!$H$13:$V$13="X")*ISNUMBER('Registro Notas'!$D10:$R10)*'Registro Notas'!$D10:$R10)/SUMPRODUCT(('Matriz Criterios'!$H$13:$V$13="X")*ISNUMBER('Registro Notas'!$D10:$R10)))</f>
        <v/>
      </c>
      <c r="K10" s="35">
        <f>IF(SUMPRODUCT(('Matriz Criterios'!$H$14:$V$14="X")*ISNUMBER('Registro Notas'!$D10:$R10))=0, "-", SUMPRODUCT(('Matriz Criterios'!$H$14:$V$14="X")*ISNUMBER('Registro Notas'!$D10:$R10)*'Registro Notas'!$D10:$R10)/SUMPRODUCT(('Matriz Criterios'!$H$14:$V$14="X")*ISNUMBER('Registro Notas'!$D10:$R10)))</f>
        <v/>
      </c>
      <c r="L10" s="35">
        <f>IF(SUMPRODUCT(('Matriz Criterios'!$H$15:$V$15="X")*ISNUMBER('Registro Notas'!$D10:$R10))=0, "-", SUMPRODUCT(('Matriz Criterios'!$H$15:$V$15="X")*ISNUMBER('Registro Notas'!$D10:$R10)*'Registro Notas'!$D10:$R10)/SUMPRODUCT(('Matriz Criterios'!$H$15:$V$15="X")*ISNUMBER('Registro Notas'!$D10:$R10)))</f>
        <v/>
      </c>
      <c r="M10" s="35">
        <f>IF(SUMPRODUCT(('Matriz Criterios'!$H$16:$V$16="X")*ISNUMBER('Registro Notas'!$D10:$R10))=0, "-", SUMPRODUCT(('Matriz Criterios'!$H$16:$V$16="X")*ISNUMBER('Registro Notas'!$D10:$R10)*'Registro Notas'!$D10:$R10)/SUMPRODUCT(('Matriz Criterios'!$H$16:$V$16="X")*ISNUMBER('Registro Notas'!$D10:$R10)))</f>
        <v/>
      </c>
      <c r="N10" s="35">
        <f>IF(SUMPRODUCT(('Matriz Criterios'!$H$17:$V$17="X")*ISNUMBER('Registro Notas'!$D10:$R10))=0, "-", SUMPRODUCT(('Matriz Criterios'!$H$17:$V$17="X")*ISNUMBER('Registro Notas'!$D10:$R10)*'Registro Notas'!$D10:$R10)/SUMPRODUCT(('Matriz Criterios'!$H$17:$V$17="X")*ISNUMBER('Registro Notas'!$D10:$R10)))</f>
        <v/>
      </c>
      <c r="O10" s="35">
        <f>IF(SUMPRODUCT(('Matriz Criterios'!$H$18:$V$18="X")*ISNUMBER('Registro Notas'!$D10:$R10))=0, "-", SUMPRODUCT(('Matriz Criterios'!$H$18:$V$18="X")*ISNUMBER('Registro Notas'!$D10:$R10)*'Registro Notas'!$D10:$R10)/SUMPRODUCT(('Matriz Criterios'!$H$18:$V$18="X")*ISNUMBER('Registro Notas'!$D10:$R10)))</f>
        <v/>
      </c>
      <c r="P10" s="35">
        <f>IF(SUMPRODUCT(('Matriz Criterios'!$H$19:$V$19="X")*ISNUMBER('Registro Notas'!$D10:$R10))=0, "-", SUMPRODUCT(('Matriz Criterios'!$H$19:$V$19="X")*ISNUMBER('Registro Notas'!$D10:$R10)*'Registro Notas'!$D10:$R10)/SUMPRODUCT(('Matriz Criterios'!$H$19:$V$19="X")*ISNUMBER('Registro Notas'!$D10:$R10)))</f>
        <v/>
      </c>
      <c r="Q10" s="35">
        <f>IF(SUMPRODUCT(('Matriz Criterios'!$H$20:$V$20="X")*ISNUMBER('Registro Notas'!$D10:$R10))=0, "-", SUMPRODUCT(('Matriz Criterios'!$H$20:$V$20="X")*ISNUMBER('Registro Notas'!$D10:$R10)*'Registro Notas'!$D10:$R10)/SUMPRODUCT(('Matriz Criterios'!$H$20:$V$20="X")*ISNUMBER('Registro Notas'!$D10:$R10)))</f>
        <v/>
      </c>
      <c r="R10" s="35">
        <f>IF(SUMPRODUCT(('Matriz Criterios'!$H$21:$V$21="X")*ISNUMBER('Registro Notas'!$D10:$R10))=0, "-", SUMPRODUCT(('Matriz Criterios'!$H$21:$V$21="X")*ISNUMBER('Registro Notas'!$D10:$R10)*'Registro Notas'!$D10:$R10)/SUMPRODUCT(('Matriz Criterios'!$H$21:$V$21="X")*ISNUMBER('Registro Notas'!$D10:$R10)))</f>
        <v/>
      </c>
      <c r="S10" s="35">
        <f>IF(SUMPRODUCT(('Matriz Criterios'!$H$22:$V$22="X")*ISNUMBER('Registro Notas'!$D10:$R10))=0, "-", SUMPRODUCT(('Matriz Criterios'!$H$22:$V$22="X")*ISNUMBER('Registro Notas'!$D10:$R10)*'Registro Notas'!$D10:$R10)/SUMPRODUCT(('Matriz Criterios'!$H$22:$V$22="X")*ISNUMBER('Registro Notas'!$D10:$R10)))</f>
        <v/>
      </c>
      <c r="T10" s="35">
        <f>IF(SUMPRODUCT(('Matriz Criterios'!$H$23:$V$23="X")*ISNUMBER('Registro Notas'!$D10:$R10))=0, "-", SUMPRODUCT(('Matriz Criterios'!$H$23:$V$23="X")*ISNUMBER('Registro Notas'!$D10:$R10)*'Registro Notas'!$D10:$R10)/SUMPRODUCT(('Matriz Criterios'!$H$23:$V$23="X")*ISNUMBER('Registro Notas'!$D10:$R10)))</f>
        <v/>
      </c>
      <c r="U10" s="35">
        <f>IF(SUMPRODUCT(('Matriz Criterios'!$H$24:$V$24="X")*ISNUMBER('Registro Notas'!$D10:$R10))=0, "-", SUMPRODUCT(('Matriz Criterios'!$H$24:$V$24="X")*ISNUMBER('Registro Notas'!$D10:$R10)*'Registro Notas'!$D10:$R10)/SUMPRODUCT(('Matriz Criterios'!$H$24:$V$24="X")*ISNUMBER('Registro Notas'!$D10:$R10)))</f>
        <v/>
      </c>
      <c r="V10" s="35">
        <f>IF(SUMPRODUCT(('Matriz Criterios'!$H$25:$V$25="X")*ISNUMBER('Registro Notas'!$D10:$R10))=0, "-", SUMPRODUCT(('Matriz Criterios'!$H$25:$V$25="X")*ISNUMBER('Registro Notas'!$D10:$R10)*'Registro Notas'!$D10:$R10)/SUMPRODUCT(('Matriz Criterios'!$H$25:$V$25="X")*ISNUMBER('Registro Notas'!$D10:$R10)))</f>
        <v/>
      </c>
      <c r="W10" s="35">
        <f>IF(SUMPRODUCT(('Matriz Criterios'!$H$26:$V$26="X")*ISNUMBER('Registro Notas'!$D10:$R10))=0, "-", SUMPRODUCT(('Matriz Criterios'!$H$26:$V$26="X")*ISNUMBER('Registro Notas'!$D10:$R10)*'Registro Notas'!$D10:$R10)/SUMPRODUCT(('Matriz Criterios'!$H$26:$V$26="X")*ISNUMBER('Registro Notas'!$D10:$R10)))</f>
        <v/>
      </c>
      <c r="X10" s="35">
        <f>IF(SUMPRODUCT(('Matriz Criterios'!$H$27:$V$27="X")*ISNUMBER('Registro Notas'!$D10:$R10))=0, "-", SUMPRODUCT(('Matriz Criterios'!$H$27:$V$27="X")*ISNUMBER('Registro Notas'!$D10:$R10)*'Registro Notas'!$D10:$R10)/SUMPRODUCT(('Matriz Criterios'!$H$27:$V$27="X")*ISNUMBER('Registro Notas'!$D10:$R10)))</f>
        <v/>
      </c>
      <c r="Y10" s="35">
        <f>IF(SUMPRODUCT(('Matriz Criterios'!$H$28:$V$28="X")*ISNUMBER('Registro Notas'!$D10:$R10))=0, "-", SUMPRODUCT(('Matriz Criterios'!$H$28:$V$28="X")*ISNUMBER('Registro Notas'!$D10:$R10)*'Registro Notas'!$D10:$R10)/SUMPRODUCT(('Matriz Criterios'!$H$28:$V$28="X")*ISNUMBER('Registro Notas'!$D10:$R10)))</f>
        <v/>
      </c>
      <c r="Z10" s="35">
        <f>IF(SUMPRODUCT(('Matriz Criterios'!$H$29:$V$29="X")*ISNUMBER('Registro Notas'!$D10:$R10))=0, "-", SUMPRODUCT(('Matriz Criterios'!$H$29:$V$29="X")*ISNUMBER('Registro Notas'!$D10:$R10)*'Registro Notas'!$D10:$R10)/SUMPRODUCT(('Matriz Criterios'!$H$29:$V$29="X")*ISNUMBER('Registro Notas'!$D10:$R10)))</f>
        <v/>
      </c>
      <c r="AA10" s="35">
        <f>IF(SUMPRODUCT(('Matriz Criterios'!$H$30:$V$30="X")*ISNUMBER('Registro Notas'!$D10:$R10))=0, "-", SUMPRODUCT(('Matriz Criterios'!$H$30:$V$30="X")*ISNUMBER('Registro Notas'!$D10:$R10)*'Registro Notas'!$D10:$R10)/SUMPRODUCT(('Matriz Criterios'!$H$30:$V$30="X")*ISNUMBER('Registro Notas'!$D10:$R10)))</f>
        <v/>
      </c>
      <c r="AB10" s="35">
        <f>IF(SUMPRODUCT(('Matriz Criterios'!$H$31:$V$31="X")*ISNUMBER('Registro Notas'!$D10:$R10))=0, "-", SUMPRODUCT(('Matriz Criterios'!$H$31:$V$31="X")*ISNUMBER('Registro Notas'!$D10:$R10)*'Registro Notas'!$D10:$R10)/SUMPRODUCT(('Matriz Criterios'!$H$31:$V$31="X")*ISNUMBER('Registro Notas'!$D10:$R10)))</f>
        <v/>
      </c>
      <c r="AC10" s="35">
        <f>IF(SUMPRODUCT(('Matriz Criterios'!$H$32:$V$32="X")*ISNUMBER('Registro Notas'!$D10:$R10))=0, "-", SUMPRODUCT(('Matriz Criterios'!$H$32:$V$32="X")*ISNUMBER('Registro Notas'!$D10:$R10)*'Registro Notas'!$D10:$R10)/SUMPRODUCT(('Matriz Criterios'!$H$32:$V$32="X")*ISNUMBER('Registro Notas'!$D10:$R10)))</f>
        <v/>
      </c>
      <c r="AD10" s="35">
        <f>IF(SUMPRODUCT(('Matriz Criterios'!$H$33:$V$33="X")*ISNUMBER('Registro Notas'!$D10:$R10))=0, "-", SUMPRODUCT(('Matriz Criterios'!$H$33:$V$33="X")*ISNUMBER('Registro Notas'!$D10:$R10)*'Registro Notas'!$D10:$R10)/SUMPRODUCT(('Matriz Criterios'!$H$33:$V$33="X")*ISNUMBER('Registro Notas'!$D10:$R10)))</f>
        <v/>
      </c>
      <c r="AE10" s="35">
        <f>IF(SUMPRODUCT(('Matriz Criterios'!$H$34:$V$34="X")*ISNUMBER('Registro Notas'!$D10:$R10))=0, "-", SUMPRODUCT(('Matriz Criterios'!$H$34:$V$34="X")*ISNUMBER('Registro Notas'!$D10:$R10)*'Registro Notas'!$D10:$R10)/SUMPRODUCT(('Matriz Criterios'!$H$34:$V$34="X")*ISNUMBER('Registro Notas'!$D10:$R10)))</f>
        <v/>
      </c>
      <c r="AF10" s="35">
        <f>IF(SUMPRODUCT(('Matriz Criterios'!$H$35:$V$35="X")*ISNUMBER('Registro Notas'!$D10:$R10))=0, "-", SUMPRODUCT(('Matriz Criterios'!$H$35:$V$35="X")*ISNUMBER('Registro Notas'!$D10:$R10)*'Registro Notas'!$D10:$R10)/SUMPRODUCT(('Matriz Criterios'!$H$35:$V$35="X")*ISNUMBER('Registro Notas'!$D10:$R10)))</f>
        <v/>
      </c>
      <c r="AG10" s="35">
        <f>IF(SUMPRODUCT(('Matriz Criterios'!$H$36:$V$36="X")*ISNUMBER('Registro Notas'!$D10:$R10))=0, "-", SUMPRODUCT(('Matriz Criterios'!$H$36:$V$36="X")*ISNUMBER('Registro Notas'!$D10:$R10)*'Registro Notas'!$D10:$R10)/SUMPRODUCT(('Matriz Criterios'!$H$36:$V$36="X")*ISNUMBER('Registro Notas'!$D10:$R10)))</f>
        <v/>
      </c>
      <c r="AH10" s="35">
        <f>IF(SUMPRODUCT(('Matriz Criterios'!$H$37:$V$37="X")*ISNUMBER('Registro Notas'!$D10:$R10))=0, "-", SUMPRODUCT(('Matriz Criterios'!$H$37:$V$37="X")*ISNUMBER('Registro Notas'!$D10:$R10)*'Registro Notas'!$D10:$R10)/SUMPRODUCT(('Matriz Criterios'!$H$37:$V$37="X")*ISNUMBER('Registro Notas'!$D10:$R10)))</f>
        <v/>
      </c>
      <c r="AI10" s="35">
        <f>IF(SUMPRODUCT(('Matriz Criterios'!$H$38:$V$38="X")*ISNUMBER('Registro Notas'!$D10:$R10))=0, "-", SUMPRODUCT(('Matriz Criterios'!$H$38:$V$38="X")*ISNUMBER('Registro Notas'!$D10:$R10)*'Registro Notas'!$D10:$R10)/SUMPRODUCT(('Matriz Criterios'!$H$38:$V$38="X")*ISNUMBER('Registro Notas'!$D10:$R10)))</f>
        <v/>
      </c>
      <c r="AJ10" s="35">
        <f>IF(SUMPRODUCT(('Matriz Criterios'!$H$39:$V$39="X")*ISNUMBER('Registro Notas'!$D10:$R10))=0, "-", SUMPRODUCT(('Matriz Criterios'!$H$39:$V$39="X")*ISNUMBER('Registro Notas'!$D10:$R10)*'Registro Notas'!$D10:$R10)/SUMPRODUCT(('Matriz Criterios'!$H$39:$V$39="X")*ISNUMBER('Registro Notas'!$D10:$R10)))</f>
        <v/>
      </c>
      <c r="AK10" s="35">
        <f>IF(SUMPRODUCT(('Matriz Criterios'!$H$40:$V$40="X")*ISNUMBER('Registro Notas'!$D10:$R10))=0, "-", SUMPRODUCT(('Matriz Criterios'!$H$40:$V$40="X")*ISNUMBER('Registro Notas'!$D10:$R10)*'Registro Notas'!$D10:$R10)/SUMPRODUCT(('Matriz Criterios'!$H$40:$V$40="X")*ISNUMBER('Registro Notas'!$D10:$R10)))</f>
        <v/>
      </c>
      <c r="AL10" s="35">
        <f>IF(SUMPRODUCT(('Matriz Criterios'!$H$41:$V$41="X")*ISNUMBER('Registro Notas'!$D10:$R10))=0, "-", SUMPRODUCT(('Matriz Criterios'!$H$41:$V$41="X")*ISNUMBER('Registro Notas'!$D10:$R10)*'Registro Notas'!$D10:$R10)/SUMPRODUCT(('Matriz Criterios'!$H$41:$V$41="X")*ISNUMBER('Registro Notas'!$D10:$R10)))</f>
        <v/>
      </c>
      <c r="AM10" s="35">
        <f>IF(SUMPRODUCT(('Matriz Criterios'!$H$42:$V$42="X")*ISNUMBER('Registro Notas'!$D10:$R10))=0, "-", SUMPRODUCT(('Matriz Criterios'!$H$42:$V$42="X")*ISNUMBER('Registro Notas'!$D10:$R10)*'Registro Notas'!$D10:$R10)/SUMPRODUCT(('Matriz Criterios'!$H$42:$V$42="X")*ISNUMBER('Registro Notas'!$D10:$R10)))</f>
        <v/>
      </c>
      <c r="AN10" s="35">
        <f>IF(SUMPRODUCT(('Matriz Criterios'!$H$43:$V$43="X")*ISNUMBER('Registro Notas'!$D10:$R10))=0, "-", SUMPRODUCT(('Matriz Criterios'!$H$43:$V$43="X")*ISNUMBER('Registro Notas'!$D10:$R10)*'Registro Notas'!$D10:$R10)/SUMPRODUCT(('Matriz Criterios'!$H$43:$V$43="X")*ISNUMBER('Registro Notas'!$D10:$R10)))</f>
        <v/>
      </c>
      <c r="AO10" s="35">
        <f>IF(SUMPRODUCT(('Matriz Criterios'!$H$44:$V$44="X")*ISNUMBER('Registro Notas'!$D10:$R10))=0, "-", SUMPRODUCT(('Matriz Criterios'!$H$44:$V$44="X")*ISNUMBER('Registro Notas'!$D10:$R10)*'Registro Notas'!$D10:$R10)/SUMPRODUCT(('Matriz Criterios'!$H$44:$V$44="X")*ISNUMBER('Registro Notas'!$D10:$R10)))</f>
        <v/>
      </c>
      <c r="AP10" s="35">
        <f>IF(SUMPRODUCT(('Matriz Criterios'!$H$45:$V$45="X")*ISNUMBER('Registro Notas'!$D10:$R10))=0, "-", SUMPRODUCT(('Matriz Criterios'!$H$45:$V$45="X")*ISNUMBER('Registro Notas'!$D10:$R10)*'Registro Notas'!$D10:$R10)/SUMPRODUCT(('Matriz Criterios'!$H$45:$V$45="X")*ISNUMBER('Registro Notas'!$D10:$R10)))</f>
        <v/>
      </c>
      <c r="AQ10" s="49">
        <f>AVERAGE(C10:AP10)</f>
        <v/>
      </c>
      <c r="AR10" s="50">
        <f>COUNTIF(C10:AP10, "&gt;=5")</f>
        <v/>
      </c>
    </row>
    <row r="11" ht="20" customHeight="1">
      <c r="A11" s="21" t="n">
        <v>6</v>
      </c>
      <c r="B11" s="38" t="inlineStr">
        <is>
          <t>García Serrano, David</t>
        </is>
      </c>
      <c r="C11" s="39">
        <f>IF(SUMPRODUCT(('Matriz Criterios'!$H$6:$V$6="X")*ISNUMBER('Registro Notas'!$D11:$R11))=0, "-", SUMPRODUCT(('Matriz Criterios'!$H$6:$V$6="X")*ISNUMBER('Registro Notas'!$D11:$R11)*'Registro Notas'!$D11:$R11)/SUMPRODUCT(('Matriz Criterios'!$H$6:$V$6="X")*ISNUMBER('Registro Notas'!$D11:$R11)))</f>
        <v/>
      </c>
      <c r="D11" s="39">
        <f>IF(SUMPRODUCT(('Matriz Criterios'!$H$7:$V$7="X")*ISNUMBER('Registro Notas'!$D11:$R11))=0, "-", SUMPRODUCT(('Matriz Criterios'!$H$7:$V$7="X")*ISNUMBER('Registro Notas'!$D11:$R11)*'Registro Notas'!$D11:$R11)/SUMPRODUCT(('Matriz Criterios'!$H$7:$V$7="X")*ISNUMBER('Registro Notas'!$D11:$R11)))</f>
        <v/>
      </c>
      <c r="E11" s="39">
        <f>IF(SUMPRODUCT(('Matriz Criterios'!$H$8:$V$8="X")*ISNUMBER('Registro Notas'!$D11:$R11))=0, "-", SUMPRODUCT(('Matriz Criterios'!$H$8:$V$8="X")*ISNUMBER('Registro Notas'!$D11:$R11)*'Registro Notas'!$D11:$R11)/SUMPRODUCT(('Matriz Criterios'!$H$8:$V$8="X")*ISNUMBER('Registro Notas'!$D11:$R11)))</f>
        <v/>
      </c>
      <c r="F11" s="39">
        <f>IF(SUMPRODUCT(('Matriz Criterios'!$H$9:$V$9="X")*ISNUMBER('Registro Notas'!$D11:$R11))=0, "-", SUMPRODUCT(('Matriz Criterios'!$H$9:$V$9="X")*ISNUMBER('Registro Notas'!$D11:$R11)*'Registro Notas'!$D11:$R11)/SUMPRODUCT(('Matriz Criterios'!$H$9:$V$9="X")*ISNUMBER('Registro Notas'!$D11:$R11)))</f>
        <v/>
      </c>
      <c r="G11" s="39">
        <f>IF(SUMPRODUCT(('Matriz Criterios'!$H$10:$V$10="X")*ISNUMBER('Registro Notas'!$D11:$R11))=0, "-", SUMPRODUCT(('Matriz Criterios'!$H$10:$V$10="X")*ISNUMBER('Registro Notas'!$D11:$R11)*'Registro Notas'!$D11:$R11)/SUMPRODUCT(('Matriz Criterios'!$H$10:$V$10="X")*ISNUMBER('Registro Notas'!$D11:$R11)))</f>
        <v/>
      </c>
      <c r="H11" s="39">
        <f>IF(SUMPRODUCT(('Matriz Criterios'!$H$11:$V$11="X")*ISNUMBER('Registro Notas'!$D11:$R11))=0, "-", SUMPRODUCT(('Matriz Criterios'!$H$11:$V$11="X")*ISNUMBER('Registro Notas'!$D11:$R11)*'Registro Notas'!$D11:$R11)/SUMPRODUCT(('Matriz Criterios'!$H$11:$V$11="X")*ISNUMBER('Registro Notas'!$D11:$R11)))</f>
        <v/>
      </c>
      <c r="I11" s="39">
        <f>IF(SUMPRODUCT(('Matriz Criterios'!$H$12:$V$12="X")*ISNUMBER('Registro Notas'!$D11:$R11))=0, "-", SUMPRODUCT(('Matriz Criterios'!$H$12:$V$12="X")*ISNUMBER('Registro Notas'!$D11:$R11)*'Registro Notas'!$D11:$R11)/SUMPRODUCT(('Matriz Criterios'!$H$12:$V$12="X")*ISNUMBER('Registro Notas'!$D11:$R11)))</f>
        <v/>
      </c>
      <c r="J11" s="39">
        <f>IF(SUMPRODUCT(('Matriz Criterios'!$H$13:$V$13="X")*ISNUMBER('Registro Notas'!$D11:$R11))=0, "-", SUMPRODUCT(('Matriz Criterios'!$H$13:$V$13="X")*ISNUMBER('Registro Notas'!$D11:$R11)*'Registro Notas'!$D11:$R11)/SUMPRODUCT(('Matriz Criterios'!$H$13:$V$13="X")*ISNUMBER('Registro Notas'!$D11:$R11)))</f>
        <v/>
      </c>
      <c r="K11" s="39">
        <f>IF(SUMPRODUCT(('Matriz Criterios'!$H$14:$V$14="X")*ISNUMBER('Registro Notas'!$D11:$R11))=0, "-", SUMPRODUCT(('Matriz Criterios'!$H$14:$V$14="X")*ISNUMBER('Registro Notas'!$D11:$R11)*'Registro Notas'!$D11:$R11)/SUMPRODUCT(('Matriz Criterios'!$H$14:$V$14="X")*ISNUMBER('Registro Notas'!$D11:$R11)))</f>
        <v/>
      </c>
      <c r="L11" s="39">
        <f>IF(SUMPRODUCT(('Matriz Criterios'!$H$15:$V$15="X")*ISNUMBER('Registro Notas'!$D11:$R11))=0, "-", SUMPRODUCT(('Matriz Criterios'!$H$15:$V$15="X")*ISNUMBER('Registro Notas'!$D11:$R11)*'Registro Notas'!$D11:$R11)/SUMPRODUCT(('Matriz Criterios'!$H$15:$V$15="X")*ISNUMBER('Registro Notas'!$D11:$R11)))</f>
        <v/>
      </c>
      <c r="M11" s="39">
        <f>IF(SUMPRODUCT(('Matriz Criterios'!$H$16:$V$16="X")*ISNUMBER('Registro Notas'!$D11:$R11))=0, "-", SUMPRODUCT(('Matriz Criterios'!$H$16:$V$16="X")*ISNUMBER('Registro Notas'!$D11:$R11)*'Registro Notas'!$D11:$R11)/SUMPRODUCT(('Matriz Criterios'!$H$16:$V$16="X")*ISNUMBER('Registro Notas'!$D11:$R11)))</f>
        <v/>
      </c>
      <c r="N11" s="39">
        <f>IF(SUMPRODUCT(('Matriz Criterios'!$H$17:$V$17="X")*ISNUMBER('Registro Notas'!$D11:$R11))=0, "-", SUMPRODUCT(('Matriz Criterios'!$H$17:$V$17="X")*ISNUMBER('Registro Notas'!$D11:$R11)*'Registro Notas'!$D11:$R11)/SUMPRODUCT(('Matriz Criterios'!$H$17:$V$17="X")*ISNUMBER('Registro Notas'!$D11:$R11)))</f>
        <v/>
      </c>
      <c r="O11" s="39">
        <f>IF(SUMPRODUCT(('Matriz Criterios'!$H$18:$V$18="X")*ISNUMBER('Registro Notas'!$D11:$R11))=0, "-", SUMPRODUCT(('Matriz Criterios'!$H$18:$V$18="X")*ISNUMBER('Registro Notas'!$D11:$R11)*'Registro Notas'!$D11:$R11)/SUMPRODUCT(('Matriz Criterios'!$H$18:$V$18="X")*ISNUMBER('Registro Notas'!$D11:$R11)))</f>
        <v/>
      </c>
      <c r="P11" s="39">
        <f>IF(SUMPRODUCT(('Matriz Criterios'!$H$19:$V$19="X")*ISNUMBER('Registro Notas'!$D11:$R11))=0, "-", SUMPRODUCT(('Matriz Criterios'!$H$19:$V$19="X")*ISNUMBER('Registro Notas'!$D11:$R11)*'Registro Notas'!$D11:$R11)/SUMPRODUCT(('Matriz Criterios'!$H$19:$V$19="X")*ISNUMBER('Registro Notas'!$D11:$R11)))</f>
        <v/>
      </c>
      <c r="Q11" s="39">
        <f>IF(SUMPRODUCT(('Matriz Criterios'!$H$20:$V$20="X")*ISNUMBER('Registro Notas'!$D11:$R11))=0, "-", SUMPRODUCT(('Matriz Criterios'!$H$20:$V$20="X")*ISNUMBER('Registro Notas'!$D11:$R11)*'Registro Notas'!$D11:$R11)/SUMPRODUCT(('Matriz Criterios'!$H$20:$V$20="X")*ISNUMBER('Registro Notas'!$D11:$R11)))</f>
        <v/>
      </c>
      <c r="R11" s="39">
        <f>IF(SUMPRODUCT(('Matriz Criterios'!$H$21:$V$21="X")*ISNUMBER('Registro Notas'!$D11:$R11))=0, "-", SUMPRODUCT(('Matriz Criterios'!$H$21:$V$21="X")*ISNUMBER('Registro Notas'!$D11:$R11)*'Registro Notas'!$D11:$R11)/SUMPRODUCT(('Matriz Criterios'!$H$21:$V$21="X")*ISNUMBER('Registro Notas'!$D11:$R11)))</f>
        <v/>
      </c>
      <c r="S11" s="39">
        <f>IF(SUMPRODUCT(('Matriz Criterios'!$H$22:$V$22="X")*ISNUMBER('Registro Notas'!$D11:$R11))=0, "-", SUMPRODUCT(('Matriz Criterios'!$H$22:$V$22="X")*ISNUMBER('Registro Notas'!$D11:$R11)*'Registro Notas'!$D11:$R11)/SUMPRODUCT(('Matriz Criterios'!$H$22:$V$22="X")*ISNUMBER('Registro Notas'!$D11:$R11)))</f>
        <v/>
      </c>
      <c r="T11" s="39">
        <f>IF(SUMPRODUCT(('Matriz Criterios'!$H$23:$V$23="X")*ISNUMBER('Registro Notas'!$D11:$R11))=0, "-", SUMPRODUCT(('Matriz Criterios'!$H$23:$V$23="X")*ISNUMBER('Registro Notas'!$D11:$R11)*'Registro Notas'!$D11:$R11)/SUMPRODUCT(('Matriz Criterios'!$H$23:$V$23="X")*ISNUMBER('Registro Notas'!$D11:$R11)))</f>
        <v/>
      </c>
      <c r="U11" s="39">
        <f>IF(SUMPRODUCT(('Matriz Criterios'!$H$24:$V$24="X")*ISNUMBER('Registro Notas'!$D11:$R11))=0, "-", SUMPRODUCT(('Matriz Criterios'!$H$24:$V$24="X")*ISNUMBER('Registro Notas'!$D11:$R11)*'Registro Notas'!$D11:$R11)/SUMPRODUCT(('Matriz Criterios'!$H$24:$V$24="X")*ISNUMBER('Registro Notas'!$D11:$R11)))</f>
        <v/>
      </c>
      <c r="V11" s="39">
        <f>IF(SUMPRODUCT(('Matriz Criterios'!$H$25:$V$25="X")*ISNUMBER('Registro Notas'!$D11:$R11))=0, "-", SUMPRODUCT(('Matriz Criterios'!$H$25:$V$25="X")*ISNUMBER('Registro Notas'!$D11:$R11)*'Registro Notas'!$D11:$R11)/SUMPRODUCT(('Matriz Criterios'!$H$25:$V$25="X")*ISNUMBER('Registro Notas'!$D11:$R11)))</f>
        <v/>
      </c>
      <c r="W11" s="39">
        <f>IF(SUMPRODUCT(('Matriz Criterios'!$H$26:$V$26="X")*ISNUMBER('Registro Notas'!$D11:$R11))=0, "-", SUMPRODUCT(('Matriz Criterios'!$H$26:$V$26="X")*ISNUMBER('Registro Notas'!$D11:$R11)*'Registro Notas'!$D11:$R11)/SUMPRODUCT(('Matriz Criterios'!$H$26:$V$26="X")*ISNUMBER('Registro Notas'!$D11:$R11)))</f>
        <v/>
      </c>
      <c r="X11" s="39">
        <f>IF(SUMPRODUCT(('Matriz Criterios'!$H$27:$V$27="X")*ISNUMBER('Registro Notas'!$D11:$R11))=0, "-", SUMPRODUCT(('Matriz Criterios'!$H$27:$V$27="X")*ISNUMBER('Registro Notas'!$D11:$R11)*'Registro Notas'!$D11:$R11)/SUMPRODUCT(('Matriz Criterios'!$H$27:$V$27="X")*ISNUMBER('Registro Notas'!$D11:$R11)))</f>
        <v/>
      </c>
      <c r="Y11" s="39">
        <f>IF(SUMPRODUCT(('Matriz Criterios'!$H$28:$V$28="X")*ISNUMBER('Registro Notas'!$D11:$R11))=0, "-", SUMPRODUCT(('Matriz Criterios'!$H$28:$V$28="X")*ISNUMBER('Registro Notas'!$D11:$R11)*'Registro Notas'!$D11:$R11)/SUMPRODUCT(('Matriz Criterios'!$H$28:$V$28="X")*ISNUMBER('Registro Notas'!$D11:$R11)))</f>
        <v/>
      </c>
      <c r="Z11" s="39">
        <f>IF(SUMPRODUCT(('Matriz Criterios'!$H$29:$V$29="X")*ISNUMBER('Registro Notas'!$D11:$R11))=0, "-", SUMPRODUCT(('Matriz Criterios'!$H$29:$V$29="X")*ISNUMBER('Registro Notas'!$D11:$R11)*'Registro Notas'!$D11:$R11)/SUMPRODUCT(('Matriz Criterios'!$H$29:$V$29="X")*ISNUMBER('Registro Notas'!$D11:$R11)))</f>
        <v/>
      </c>
      <c r="AA11" s="39">
        <f>IF(SUMPRODUCT(('Matriz Criterios'!$H$30:$V$30="X")*ISNUMBER('Registro Notas'!$D11:$R11))=0, "-", SUMPRODUCT(('Matriz Criterios'!$H$30:$V$30="X")*ISNUMBER('Registro Notas'!$D11:$R11)*'Registro Notas'!$D11:$R11)/SUMPRODUCT(('Matriz Criterios'!$H$30:$V$30="X")*ISNUMBER('Registro Notas'!$D11:$R11)))</f>
        <v/>
      </c>
      <c r="AB11" s="39">
        <f>IF(SUMPRODUCT(('Matriz Criterios'!$H$31:$V$31="X")*ISNUMBER('Registro Notas'!$D11:$R11))=0, "-", SUMPRODUCT(('Matriz Criterios'!$H$31:$V$31="X")*ISNUMBER('Registro Notas'!$D11:$R11)*'Registro Notas'!$D11:$R11)/SUMPRODUCT(('Matriz Criterios'!$H$31:$V$31="X")*ISNUMBER('Registro Notas'!$D11:$R11)))</f>
        <v/>
      </c>
      <c r="AC11" s="39">
        <f>IF(SUMPRODUCT(('Matriz Criterios'!$H$32:$V$32="X")*ISNUMBER('Registro Notas'!$D11:$R11))=0, "-", SUMPRODUCT(('Matriz Criterios'!$H$32:$V$32="X")*ISNUMBER('Registro Notas'!$D11:$R11)*'Registro Notas'!$D11:$R11)/SUMPRODUCT(('Matriz Criterios'!$H$32:$V$32="X")*ISNUMBER('Registro Notas'!$D11:$R11)))</f>
        <v/>
      </c>
      <c r="AD11" s="39">
        <f>IF(SUMPRODUCT(('Matriz Criterios'!$H$33:$V$33="X")*ISNUMBER('Registro Notas'!$D11:$R11))=0, "-", SUMPRODUCT(('Matriz Criterios'!$H$33:$V$33="X")*ISNUMBER('Registro Notas'!$D11:$R11)*'Registro Notas'!$D11:$R11)/SUMPRODUCT(('Matriz Criterios'!$H$33:$V$33="X")*ISNUMBER('Registro Notas'!$D11:$R11)))</f>
        <v/>
      </c>
      <c r="AE11" s="39">
        <f>IF(SUMPRODUCT(('Matriz Criterios'!$H$34:$V$34="X")*ISNUMBER('Registro Notas'!$D11:$R11))=0, "-", SUMPRODUCT(('Matriz Criterios'!$H$34:$V$34="X")*ISNUMBER('Registro Notas'!$D11:$R11)*'Registro Notas'!$D11:$R11)/SUMPRODUCT(('Matriz Criterios'!$H$34:$V$34="X")*ISNUMBER('Registro Notas'!$D11:$R11)))</f>
        <v/>
      </c>
      <c r="AF11" s="39">
        <f>IF(SUMPRODUCT(('Matriz Criterios'!$H$35:$V$35="X")*ISNUMBER('Registro Notas'!$D11:$R11))=0, "-", SUMPRODUCT(('Matriz Criterios'!$H$35:$V$35="X")*ISNUMBER('Registro Notas'!$D11:$R11)*'Registro Notas'!$D11:$R11)/SUMPRODUCT(('Matriz Criterios'!$H$35:$V$35="X")*ISNUMBER('Registro Notas'!$D11:$R11)))</f>
        <v/>
      </c>
      <c r="AG11" s="39">
        <f>IF(SUMPRODUCT(('Matriz Criterios'!$H$36:$V$36="X")*ISNUMBER('Registro Notas'!$D11:$R11))=0, "-", SUMPRODUCT(('Matriz Criterios'!$H$36:$V$36="X")*ISNUMBER('Registro Notas'!$D11:$R11)*'Registro Notas'!$D11:$R11)/SUMPRODUCT(('Matriz Criterios'!$H$36:$V$36="X")*ISNUMBER('Registro Notas'!$D11:$R11)))</f>
        <v/>
      </c>
      <c r="AH11" s="39">
        <f>IF(SUMPRODUCT(('Matriz Criterios'!$H$37:$V$37="X")*ISNUMBER('Registro Notas'!$D11:$R11))=0, "-", SUMPRODUCT(('Matriz Criterios'!$H$37:$V$37="X")*ISNUMBER('Registro Notas'!$D11:$R11)*'Registro Notas'!$D11:$R11)/SUMPRODUCT(('Matriz Criterios'!$H$37:$V$37="X")*ISNUMBER('Registro Notas'!$D11:$R11)))</f>
        <v/>
      </c>
      <c r="AI11" s="39">
        <f>IF(SUMPRODUCT(('Matriz Criterios'!$H$38:$V$38="X")*ISNUMBER('Registro Notas'!$D11:$R11))=0, "-", SUMPRODUCT(('Matriz Criterios'!$H$38:$V$38="X")*ISNUMBER('Registro Notas'!$D11:$R11)*'Registro Notas'!$D11:$R11)/SUMPRODUCT(('Matriz Criterios'!$H$38:$V$38="X")*ISNUMBER('Registro Notas'!$D11:$R11)))</f>
        <v/>
      </c>
      <c r="AJ11" s="39">
        <f>IF(SUMPRODUCT(('Matriz Criterios'!$H$39:$V$39="X")*ISNUMBER('Registro Notas'!$D11:$R11))=0, "-", SUMPRODUCT(('Matriz Criterios'!$H$39:$V$39="X")*ISNUMBER('Registro Notas'!$D11:$R11)*'Registro Notas'!$D11:$R11)/SUMPRODUCT(('Matriz Criterios'!$H$39:$V$39="X")*ISNUMBER('Registro Notas'!$D11:$R11)))</f>
        <v/>
      </c>
      <c r="AK11" s="39">
        <f>IF(SUMPRODUCT(('Matriz Criterios'!$H$40:$V$40="X")*ISNUMBER('Registro Notas'!$D11:$R11))=0, "-", SUMPRODUCT(('Matriz Criterios'!$H$40:$V$40="X")*ISNUMBER('Registro Notas'!$D11:$R11)*'Registro Notas'!$D11:$R11)/SUMPRODUCT(('Matriz Criterios'!$H$40:$V$40="X")*ISNUMBER('Registro Notas'!$D11:$R11)))</f>
        <v/>
      </c>
      <c r="AL11" s="39">
        <f>IF(SUMPRODUCT(('Matriz Criterios'!$H$41:$V$41="X")*ISNUMBER('Registro Notas'!$D11:$R11))=0, "-", SUMPRODUCT(('Matriz Criterios'!$H$41:$V$41="X")*ISNUMBER('Registro Notas'!$D11:$R11)*'Registro Notas'!$D11:$R11)/SUMPRODUCT(('Matriz Criterios'!$H$41:$V$41="X")*ISNUMBER('Registro Notas'!$D11:$R11)))</f>
        <v/>
      </c>
      <c r="AM11" s="39">
        <f>IF(SUMPRODUCT(('Matriz Criterios'!$H$42:$V$42="X")*ISNUMBER('Registro Notas'!$D11:$R11))=0, "-", SUMPRODUCT(('Matriz Criterios'!$H$42:$V$42="X")*ISNUMBER('Registro Notas'!$D11:$R11)*'Registro Notas'!$D11:$R11)/SUMPRODUCT(('Matriz Criterios'!$H$42:$V$42="X")*ISNUMBER('Registro Notas'!$D11:$R11)))</f>
        <v/>
      </c>
      <c r="AN11" s="39">
        <f>IF(SUMPRODUCT(('Matriz Criterios'!$H$43:$V$43="X")*ISNUMBER('Registro Notas'!$D11:$R11))=0, "-", SUMPRODUCT(('Matriz Criterios'!$H$43:$V$43="X")*ISNUMBER('Registro Notas'!$D11:$R11)*'Registro Notas'!$D11:$R11)/SUMPRODUCT(('Matriz Criterios'!$H$43:$V$43="X")*ISNUMBER('Registro Notas'!$D11:$R11)))</f>
        <v/>
      </c>
      <c r="AO11" s="39">
        <f>IF(SUMPRODUCT(('Matriz Criterios'!$H$44:$V$44="X")*ISNUMBER('Registro Notas'!$D11:$R11))=0, "-", SUMPRODUCT(('Matriz Criterios'!$H$44:$V$44="X")*ISNUMBER('Registro Notas'!$D11:$R11)*'Registro Notas'!$D11:$R11)/SUMPRODUCT(('Matriz Criterios'!$H$44:$V$44="X")*ISNUMBER('Registro Notas'!$D11:$R11)))</f>
        <v/>
      </c>
      <c r="AP11" s="39">
        <f>IF(SUMPRODUCT(('Matriz Criterios'!$H$45:$V$45="X")*ISNUMBER('Registro Notas'!$D11:$R11))=0, "-", SUMPRODUCT(('Matriz Criterios'!$H$45:$V$45="X")*ISNUMBER('Registro Notas'!$D11:$R11)*'Registro Notas'!$D11:$R11)/SUMPRODUCT(('Matriz Criterios'!$H$45:$V$45="X")*ISNUMBER('Registro Notas'!$D11:$R11)))</f>
        <v/>
      </c>
      <c r="AQ11" s="49">
        <f>AVERAGE(C11:AP11)</f>
        <v/>
      </c>
      <c r="AR11" s="50">
        <f>COUNTIF(C11:AP11, "&gt;=5")</f>
        <v/>
      </c>
    </row>
    <row r="12" ht="20" customHeight="1">
      <c r="A12" s="13" t="n">
        <v>7</v>
      </c>
      <c r="B12" s="34" t="inlineStr">
        <is>
          <t>Herrera Cruz, Marta</t>
        </is>
      </c>
      <c r="C12" s="35">
        <f>IF(SUMPRODUCT(('Matriz Criterios'!$H$6:$V$6="X")*ISNUMBER('Registro Notas'!$D12:$R12))=0, "-", SUMPRODUCT(('Matriz Criterios'!$H$6:$V$6="X")*ISNUMBER('Registro Notas'!$D12:$R12)*'Registro Notas'!$D12:$R12)/SUMPRODUCT(('Matriz Criterios'!$H$6:$V$6="X")*ISNUMBER('Registro Notas'!$D12:$R12)))</f>
        <v/>
      </c>
      <c r="D12" s="35">
        <f>IF(SUMPRODUCT(('Matriz Criterios'!$H$7:$V$7="X")*ISNUMBER('Registro Notas'!$D12:$R12))=0, "-", SUMPRODUCT(('Matriz Criterios'!$H$7:$V$7="X")*ISNUMBER('Registro Notas'!$D12:$R12)*'Registro Notas'!$D12:$R12)/SUMPRODUCT(('Matriz Criterios'!$H$7:$V$7="X")*ISNUMBER('Registro Notas'!$D12:$R12)))</f>
        <v/>
      </c>
      <c r="E12" s="35">
        <f>IF(SUMPRODUCT(('Matriz Criterios'!$H$8:$V$8="X")*ISNUMBER('Registro Notas'!$D12:$R12))=0, "-", SUMPRODUCT(('Matriz Criterios'!$H$8:$V$8="X")*ISNUMBER('Registro Notas'!$D12:$R12)*'Registro Notas'!$D12:$R12)/SUMPRODUCT(('Matriz Criterios'!$H$8:$V$8="X")*ISNUMBER('Registro Notas'!$D12:$R12)))</f>
        <v/>
      </c>
      <c r="F12" s="35">
        <f>IF(SUMPRODUCT(('Matriz Criterios'!$H$9:$V$9="X")*ISNUMBER('Registro Notas'!$D12:$R12))=0, "-", SUMPRODUCT(('Matriz Criterios'!$H$9:$V$9="X")*ISNUMBER('Registro Notas'!$D12:$R12)*'Registro Notas'!$D12:$R12)/SUMPRODUCT(('Matriz Criterios'!$H$9:$V$9="X")*ISNUMBER('Registro Notas'!$D12:$R12)))</f>
        <v/>
      </c>
      <c r="G12" s="35">
        <f>IF(SUMPRODUCT(('Matriz Criterios'!$H$10:$V$10="X")*ISNUMBER('Registro Notas'!$D12:$R12))=0, "-", SUMPRODUCT(('Matriz Criterios'!$H$10:$V$10="X")*ISNUMBER('Registro Notas'!$D12:$R12)*'Registro Notas'!$D12:$R12)/SUMPRODUCT(('Matriz Criterios'!$H$10:$V$10="X")*ISNUMBER('Registro Notas'!$D12:$R12)))</f>
        <v/>
      </c>
      <c r="H12" s="35">
        <f>IF(SUMPRODUCT(('Matriz Criterios'!$H$11:$V$11="X")*ISNUMBER('Registro Notas'!$D12:$R12))=0, "-", SUMPRODUCT(('Matriz Criterios'!$H$11:$V$11="X")*ISNUMBER('Registro Notas'!$D12:$R12)*'Registro Notas'!$D12:$R12)/SUMPRODUCT(('Matriz Criterios'!$H$11:$V$11="X")*ISNUMBER('Registro Notas'!$D12:$R12)))</f>
        <v/>
      </c>
      <c r="I12" s="35">
        <f>IF(SUMPRODUCT(('Matriz Criterios'!$H$12:$V$12="X")*ISNUMBER('Registro Notas'!$D12:$R12))=0, "-", SUMPRODUCT(('Matriz Criterios'!$H$12:$V$12="X")*ISNUMBER('Registro Notas'!$D12:$R12)*'Registro Notas'!$D12:$R12)/SUMPRODUCT(('Matriz Criterios'!$H$12:$V$12="X")*ISNUMBER('Registro Notas'!$D12:$R12)))</f>
        <v/>
      </c>
      <c r="J12" s="35">
        <f>IF(SUMPRODUCT(('Matriz Criterios'!$H$13:$V$13="X")*ISNUMBER('Registro Notas'!$D12:$R12))=0, "-", SUMPRODUCT(('Matriz Criterios'!$H$13:$V$13="X")*ISNUMBER('Registro Notas'!$D12:$R12)*'Registro Notas'!$D12:$R12)/SUMPRODUCT(('Matriz Criterios'!$H$13:$V$13="X")*ISNUMBER('Registro Notas'!$D12:$R12)))</f>
        <v/>
      </c>
      <c r="K12" s="35">
        <f>IF(SUMPRODUCT(('Matriz Criterios'!$H$14:$V$14="X")*ISNUMBER('Registro Notas'!$D12:$R12))=0, "-", SUMPRODUCT(('Matriz Criterios'!$H$14:$V$14="X")*ISNUMBER('Registro Notas'!$D12:$R12)*'Registro Notas'!$D12:$R12)/SUMPRODUCT(('Matriz Criterios'!$H$14:$V$14="X")*ISNUMBER('Registro Notas'!$D12:$R12)))</f>
        <v/>
      </c>
      <c r="L12" s="35">
        <f>IF(SUMPRODUCT(('Matriz Criterios'!$H$15:$V$15="X")*ISNUMBER('Registro Notas'!$D12:$R12))=0, "-", SUMPRODUCT(('Matriz Criterios'!$H$15:$V$15="X")*ISNUMBER('Registro Notas'!$D12:$R12)*'Registro Notas'!$D12:$R12)/SUMPRODUCT(('Matriz Criterios'!$H$15:$V$15="X")*ISNUMBER('Registro Notas'!$D12:$R12)))</f>
        <v/>
      </c>
      <c r="M12" s="35">
        <f>IF(SUMPRODUCT(('Matriz Criterios'!$H$16:$V$16="X")*ISNUMBER('Registro Notas'!$D12:$R12))=0, "-", SUMPRODUCT(('Matriz Criterios'!$H$16:$V$16="X")*ISNUMBER('Registro Notas'!$D12:$R12)*'Registro Notas'!$D12:$R12)/SUMPRODUCT(('Matriz Criterios'!$H$16:$V$16="X")*ISNUMBER('Registro Notas'!$D12:$R12)))</f>
        <v/>
      </c>
      <c r="N12" s="35">
        <f>IF(SUMPRODUCT(('Matriz Criterios'!$H$17:$V$17="X")*ISNUMBER('Registro Notas'!$D12:$R12))=0, "-", SUMPRODUCT(('Matriz Criterios'!$H$17:$V$17="X")*ISNUMBER('Registro Notas'!$D12:$R12)*'Registro Notas'!$D12:$R12)/SUMPRODUCT(('Matriz Criterios'!$H$17:$V$17="X")*ISNUMBER('Registro Notas'!$D12:$R12)))</f>
        <v/>
      </c>
      <c r="O12" s="35">
        <f>IF(SUMPRODUCT(('Matriz Criterios'!$H$18:$V$18="X")*ISNUMBER('Registro Notas'!$D12:$R12))=0, "-", SUMPRODUCT(('Matriz Criterios'!$H$18:$V$18="X")*ISNUMBER('Registro Notas'!$D12:$R12)*'Registro Notas'!$D12:$R12)/SUMPRODUCT(('Matriz Criterios'!$H$18:$V$18="X")*ISNUMBER('Registro Notas'!$D12:$R12)))</f>
        <v/>
      </c>
      <c r="P12" s="35">
        <f>IF(SUMPRODUCT(('Matriz Criterios'!$H$19:$V$19="X")*ISNUMBER('Registro Notas'!$D12:$R12))=0, "-", SUMPRODUCT(('Matriz Criterios'!$H$19:$V$19="X")*ISNUMBER('Registro Notas'!$D12:$R12)*'Registro Notas'!$D12:$R12)/SUMPRODUCT(('Matriz Criterios'!$H$19:$V$19="X")*ISNUMBER('Registro Notas'!$D12:$R12)))</f>
        <v/>
      </c>
      <c r="Q12" s="35">
        <f>IF(SUMPRODUCT(('Matriz Criterios'!$H$20:$V$20="X")*ISNUMBER('Registro Notas'!$D12:$R12))=0, "-", SUMPRODUCT(('Matriz Criterios'!$H$20:$V$20="X")*ISNUMBER('Registro Notas'!$D12:$R12)*'Registro Notas'!$D12:$R12)/SUMPRODUCT(('Matriz Criterios'!$H$20:$V$20="X")*ISNUMBER('Registro Notas'!$D12:$R12)))</f>
        <v/>
      </c>
      <c r="R12" s="35">
        <f>IF(SUMPRODUCT(('Matriz Criterios'!$H$21:$V$21="X")*ISNUMBER('Registro Notas'!$D12:$R12))=0, "-", SUMPRODUCT(('Matriz Criterios'!$H$21:$V$21="X")*ISNUMBER('Registro Notas'!$D12:$R12)*'Registro Notas'!$D12:$R12)/SUMPRODUCT(('Matriz Criterios'!$H$21:$V$21="X")*ISNUMBER('Registro Notas'!$D12:$R12)))</f>
        <v/>
      </c>
      <c r="S12" s="35">
        <f>IF(SUMPRODUCT(('Matriz Criterios'!$H$22:$V$22="X")*ISNUMBER('Registro Notas'!$D12:$R12))=0, "-", SUMPRODUCT(('Matriz Criterios'!$H$22:$V$22="X")*ISNUMBER('Registro Notas'!$D12:$R12)*'Registro Notas'!$D12:$R12)/SUMPRODUCT(('Matriz Criterios'!$H$22:$V$22="X")*ISNUMBER('Registro Notas'!$D12:$R12)))</f>
        <v/>
      </c>
      <c r="T12" s="35">
        <f>IF(SUMPRODUCT(('Matriz Criterios'!$H$23:$V$23="X")*ISNUMBER('Registro Notas'!$D12:$R12))=0, "-", SUMPRODUCT(('Matriz Criterios'!$H$23:$V$23="X")*ISNUMBER('Registro Notas'!$D12:$R12)*'Registro Notas'!$D12:$R12)/SUMPRODUCT(('Matriz Criterios'!$H$23:$V$23="X")*ISNUMBER('Registro Notas'!$D12:$R12)))</f>
        <v/>
      </c>
      <c r="U12" s="35">
        <f>IF(SUMPRODUCT(('Matriz Criterios'!$H$24:$V$24="X")*ISNUMBER('Registro Notas'!$D12:$R12))=0, "-", SUMPRODUCT(('Matriz Criterios'!$H$24:$V$24="X")*ISNUMBER('Registro Notas'!$D12:$R12)*'Registro Notas'!$D12:$R12)/SUMPRODUCT(('Matriz Criterios'!$H$24:$V$24="X")*ISNUMBER('Registro Notas'!$D12:$R12)))</f>
        <v/>
      </c>
      <c r="V12" s="35">
        <f>IF(SUMPRODUCT(('Matriz Criterios'!$H$25:$V$25="X")*ISNUMBER('Registro Notas'!$D12:$R12))=0, "-", SUMPRODUCT(('Matriz Criterios'!$H$25:$V$25="X")*ISNUMBER('Registro Notas'!$D12:$R12)*'Registro Notas'!$D12:$R12)/SUMPRODUCT(('Matriz Criterios'!$H$25:$V$25="X")*ISNUMBER('Registro Notas'!$D12:$R12)))</f>
        <v/>
      </c>
      <c r="W12" s="35">
        <f>IF(SUMPRODUCT(('Matriz Criterios'!$H$26:$V$26="X")*ISNUMBER('Registro Notas'!$D12:$R12))=0, "-", SUMPRODUCT(('Matriz Criterios'!$H$26:$V$26="X")*ISNUMBER('Registro Notas'!$D12:$R12)*'Registro Notas'!$D12:$R12)/SUMPRODUCT(('Matriz Criterios'!$H$26:$V$26="X")*ISNUMBER('Registro Notas'!$D12:$R12)))</f>
        <v/>
      </c>
      <c r="X12" s="35">
        <f>IF(SUMPRODUCT(('Matriz Criterios'!$H$27:$V$27="X")*ISNUMBER('Registro Notas'!$D12:$R12))=0, "-", SUMPRODUCT(('Matriz Criterios'!$H$27:$V$27="X")*ISNUMBER('Registro Notas'!$D12:$R12)*'Registro Notas'!$D12:$R12)/SUMPRODUCT(('Matriz Criterios'!$H$27:$V$27="X")*ISNUMBER('Registro Notas'!$D12:$R12)))</f>
        <v/>
      </c>
      <c r="Y12" s="35">
        <f>IF(SUMPRODUCT(('Matriz Criterios'!$H$28:$V$28="X")*ISNUMBER('Registro Notas'!$D12:$R12))=0, "-", SUMPRODUCT(('Matriz Criterios'!$H$28:$V$28="X")*ISNUMBER('Registro Notas'!$D12:$R12)*'Registro Notas'!$D12:$R12)/SUMPRODUCT(('Matriz Criterios'!$H$28:$V$28="X")*ISNUMBER('Registro Notas'!$D12:$R12)))</f>
        <v/>
      </c>
      <c r="Z12" s="35">
        <f>IF(SUMPRODUCT(('Matriz Criterios'!$H$29:$V$29="X")*ISNUMBER('Registro Notas'!$D12:$R12))=0, "-", SUMPRODUCT(('Matriz Criterios'!$H$29:$V$29="X")*ISNUMBER('Registro Notas'!$D12:$R12)*'Registro Notas'!$D12:$R12)/SUMPRODUCT(('Matriz Criterios'!$H$29:$V$29="X")*ISNUMBER('Registro Notas'!$D12:$R12)))</f>
        <v/>
      </c>
      <c r="AA12" s="35">
        <f>IF(SUMPRODUCT(('Matriz Criterios'!$H$30:$V$30="X")*ISNUMBER('Registro Notas'!$D12:$R12))=0, "-", SUMPRODUCT(('Matriz Criterios'!$H$30:$V$30="X")*ISNUMBER('Registro Notas'!$D12:$R12)*'Registro Notas'!$D12:$R12)/SUMPRODUCT(('Matriz Criterios'!$H$30:$V$30="X")*ISNUMBER('Registro Notas'!$D12:$R12)))</f>
        <v/>
      </c>
      <c r="AB12" s="35">
        <f>IF(SUMPRODUCT(('Matriz Criterios'!$H$31:$V$31="X")*ISNUMBER('Registro Notas'!$D12:$R12))=0, "-", SUMPRODUCT(('Matriz Criterios'!$H$31:$V$31="X")*ISNUMBER('Registro Notas'!$D12:$R12)*'Registro Notas'!$D12:$R12)/SUMPRODUCT(('Matriz Criterios'!$H$31:$V$31="X")*ISNUMBER('Registro Notas'!$D12:$R12)))</f>
        <v/>
      </c>
      <c r="AC12" s="35">
        <f>IF(SUMPRODUCT(('Matriz Criterios'!$H$32:$V$32="X")*ISNUMBER('Registro Notas'!$D12:$R12))=0, "-", SUMPRODUCT(('Matriz Criterios'!$H$32:$V$32="X")*ISNUMBER('Registro Notas'!$D12:$R12)*'Registro Notas'!$D12:$R12)/SUMPRODUCT(('Matriz Criterios'!$H$32:$V$32="X")*ISNUMBER('Registro Notas'!$D12:$R12)))</f>
        <v/>
      </c>
      <c r="AD12" s="35">
        <f>IF(SUMPRODUCT(('Matriz Criterios'!$H$33:$V$33="X")*ISNUMBER('Registro Notas'!$D12:$R12))=0, "-", SUMPRODUCT(('Matriz Criterios'!$H$33:$V$33="X")*ISNUMBER('Registro Notas'!$D12:$R12)*'Registro Notas'!$D12:$R12)/SUMPRODUCT(('Matriz Criterios'!$H$33:$V$33="X")*ISNUMBER('Registro Notas'!$D12:$R12)))</f>
        <v/>
      </c>
      <c r="AE12" s="35">
        <f>IF(SUMPRODUCT(('Matriz Criterios'!$H$34:$V$34="X")*ISNUMBER('Registro Notas'!$D12:$R12))=0, "-", SUMPRODUCT(('Matriz Criterios'!$H$34:$V$34="X")*ISNUMBER('Registro Notas'!$D12:$R12)*'Registro Notas'!$D12:$R12)/SUMPRODUCT(('Matriz Criterios'!$H$34:$V$34="X")*ISNUMBER('Registro Notas'!$D12:$R12)))</f>
        <v/>
      </c>
      <c r="AF12" s="35">
        <f>IF(SUMPRODUCT(('Matriz Criterios'!$H$35:$V$35="X")*ISNUMBER('Registro Notas'!$D12:$R12))=0, "-", SUMPRODUCT(('Matriz Criterios'!$H$35:$V$35="X")*ISNUMBER('Registro Notas'!$D12:$R12)*'Registro Notas'!$D12:$R12)/SUMPRODUCT(('Matriz Criterios'!$H$35:$V$35="X")*ISNUMBER('Registro Notas'!$D12:$R12)))</f>
        <v/>
      </c>
      <c r="AG12" s="35">
        <f>IF(SUMPRODUCT(('Matriz Criterios'!$H$36:$V$36="X")*ISNUMBER('Registro Notas'!$D12:$R12))=0, "-", SUMPRODUCT(('Matriz Criterios'!$H$36:$V$36="X")*ISNUMBER('Registro Notas'!$D12:$R12)*'Registro Notas'!$D12:$R12)/SUMPRODUCT(('Matriz Criterios'!$H$36:$V$36="X")*ISNUMBER('Registro Notas'!$D12:$R12)))</f>
        <v/>
      </c>
      <c r="AH12" s="35">
        <f>IF(SUMPRODUCT(('Matriz Criterios'!$H$37:$V$37="X")*ISNUMBER('Registro Notas'!$D12:$R12))=0, "-", SUMPRODUCT(('Matriz Criterios'!$H$37:$V$37="X")*ISNUMBER('Registro Notas'!$D12:$R12)*'Registro Notas'!$D12:$R12)/SUMPRODUCT(('Matriz Criterios'!$H$37:$V$37="X")*ISNUMBER('Registro Notas'!$D12:$R12)))</f>
        <v/>
      </c>
      <c r="AI12" s="35">
        <f>IF(SUMPRODUCT(('Matriz Criterios'!$H$38:$V$38="X")*ISNUMBER('Registro Notas'!$D12:$R12))=0, "-", SUMPRODUCT(('Matriz Criterios'!$H$38:$V$38="X")*ISNUMBER('Registro Notas'!$D12:$R12)*'Registro Notas'!$D12:$R12)/SUMPRODUCT(('Matriz Criterios'!$H$38:$V$38="X")*ISNUMBER('Registro Notas'!$D12:$R12)))</f>
        <v/>
      </c>
      <c r="AJ12" s="35">
        <f>IF(SUMPRODUCT(('Matriz Criterios'!$H$39:$V$39="X")*ISNUMBER('Registro Notas'!$D12:$R12))=0, "-", SUMPRODUCT(('Matriz Criterios'!$H$39:$V$39="X")*ISNUMBER('Registro Notas'!$D12:$R12)*'Registro Notas'!$D12:$R12)/SUMPRODUCT(('Matriz Criterios'!$H$39:$V$39="X")*ISNUMBER('Registro Notas'!$D12:$R12)))</f>
        <v/>
      </c>
      <c r="AK12" s="35">
        <f>IF(SUMPRODUCT(('Matriz Criterios'!$H$40:$V$40="X")*ISNUMBER('Registro Notas'!$D12:$R12))=0, "-", SUMPRODUCT(('Matriz Criterios'!$H$40:$V$40="X")*ISNUMBER('Registro Notas'!$D12:$R12)*'Registro Notas'!$D12:$R12)/SUMPRODUCT(('Matriz Criterios'!$H$40:$V$40="X")*ISNUMBER('Registro Notas'!$D12:$R12)))</f>
        <v/>
      </c>
      <c r="AL12" s="35">
        <f>IF(SUMPRODUCT(('Matriz Criterios'!$H$41:$V$41="X")*ISNUMBER('Registro Notas'!$D12:$R12))=0, "-", SUMPRODUCT(('Matriz Criterios'!$H$41:$V$41="X")*ISNUMBER('Registro Notas'!$D12:$R12)*'Registro Notas'!$D12:$R12)/SUMPRODUCT(('Matriz Criterios'!$H$41:$V$41="X")*ISNUMBER('Registro Notas'!$D12:$R12)))</f>
        <v/>
      </c>
      <c r="AM12" s="35">
        <f>IF(SUMPRODUCT(('Matriz Criterios'!$H$42:$V$42="X")*ISNUMBER('Registro Notas'!$D12:$R12))=0, "-", SUMPRODUCT(('Matriz Criterios'!$H$42:$V$42="X")*ISNUMBER('Registro Notas'!$D12:$R12)*'Registro Notas'!$D12:$R12)/SUMPRODUCT(('Matriz Criterios'!$H$42:$V$42="X")*ISNUMBER('Registro Notas'!$D12:$R12)))</f>
        <v/>
      </c>
      <c r="AN12" s="35">
        <f>IF(SUMPRODUCT(('Matriz Criterios'!$H$43:$V$43="X")*ISNUMBER('Registro Notas'!$D12:$R12))=0, "-", SUMPRODUCT(('Matriz Criterios'!$H$43:$V$43="X")*ISNUMBER('Registro Notas'!$D12:$R12)*'Registro Notas'!$D12:$R12)/SUMPRODUCT(('Matriz Criterios'!$H$43:$V$43="X")*ISNUMBER('Registro Notas'!$D12:$R12)))</f>
        <v/>
      </c>
      <c r="AO12" s="35">
        <f>IF(SUMPRODUCT(('Matriz Criterios'!$H$44:$V$44="X")*ISNUMBER('Registro Notas'!$D12:$R12))=0, "-", SUMPRODUCT(('Matriz Criterios'!$H$44:$V$44="X")*ISNUMBER('Registro Notas'!$D12:$R12)*'Registro Notas'!$D12:$R12)/SUMPRODUCT(('Matriz Criterios'!$H$44:$V$44="X")*ISNUMBER('Registro Notas'!$D12:$R12)))</f>
        <v/>
      </c>
      <c r="AP12" s="35">
        <f>IF(SUMPRODUCT(('Matriz Criterios'!$H$45:$V$45="X")*ISNUMBER('Registro Notas'!$D12:$R12))=0, "-", SUMPRODUCT(('Matriz Criterios'!$H$45:$V$45="X")*ISNUMBER('Registro Notas'!$D12:$R12)*'Registro Notas'!$D12:$R12)/SUMPRODUCT(('Matriz Criterios'!$H$45:$V$45="X")*ISNUMBER('Registro Notas'!$D12:$R12)))</f>
        <v/>
      </c>
      <c r="AQ12" s="49">
        <f>AVERAGE(C12:AP12)</f>
        <v/>
      </c>
      <c r="AR12" s="50">
        <f>COUNTIF(C12:AP12, "&gt;=5")</f>
        <v/>
      </c>
    </row>
    <row r="13" ht="20" customHeight="1">
      <c r="A13" s="21" t="n">
        <v>8</v>
      </c>
      <c r="B13" s="38" t="inlineStr">
        <is>
          <t>Jiménez Ortiz, Pablo</t>
        </is>
      </c>
      <c r="C13" s="39">
        <f>IF(SUMPRODUCT(('Matriz Criterios'!$H$6:$V$6="X")*ISNUMBER('Registro Notas'!$D13:$R13))=0, "-", SUMPRODUCT(('Matriz Criterios'!$H$6:$V$6="X")*ISNUMBER('Registro Notas'!$D13:$R13)*'Registro Notas'!$D13:$R13)/SUMPRODUCT(('Matriz Criterios'!$H$6:$V$6="X")*ISNUMBER('Registro Notas'!$D13:$R13)))</f>
        <v/>
      </c>
      <c r="D13" s="39">
        <f>IF(SUMPRODUCT(('Matriz Criterios'!$H$7:$V$7="X")*ISNUMBER('Registro Notas'!$D13:$R13))=0, "-", SUMPRODUCT(('Matriz Criterios'!$H$7:$V$7="X")*ISNUMBER('Registro Notas'!$D13:$R13)*'Registro Notas'!$D13:$R13)/SUMPRODUCT(('Matriz Criterios'!$H$7:$V$7="X")*ISNUMBER('Registro Notas'!$D13:$R13)))</f>
        <v/>
      </c>
      <c r="E13" s="39">
        <f>IF(SUMPRODUCT(('Matriz Criterios'!$H$8:$V$8="X")*ISNUMBER('Registro Notas'!$D13:$R13))=0, "-", SUMPRODUCT(('Matriz Criterios'!$H$8:$V$8="X")*ISNUMBER('Registro Notas'!$D13:$R13)*'Registro Notas'!$D13:$R13)/SUMPRODUCT(('Matriz Criterios'!$H$8:$V$8="X")*ISNUMBER('Registro Notas'!$D13:$R13)))</f>
        <v/>
      </c>
      <c r="F13" s="39">
        <f>IF(SUMPRODUCT(('Matriz Criterios'!$H$9:$V$9="X")*ISNUMBER('Registro Notas'!$D13:$R13))=0, "-", SUMPRODUCT(('Matriz Criterios'!$H$9:$V$9="X")*ISNUMBER('Registro Notas'!$D13:$R13)*'Registro Notas'!$D13:$R13)/SUMPRODUCT(('Matriz Criterios'!$H$9:$V$9="X")*ISNUMBER('Registro Notas'!$D13:$R13)))</f>
        <v/>
      </c>
      <c r="G13" s="39">
        <f>IF(SUMPRODUCT(('Matriz Criterios'!$H$10:$V$10="X")*ISNUMBER('Registro Notas'!$D13:$R13))=0, "-", SUMPRODUCT(('Matriz Criterios'!$H$10:$V$10="X")*ISNUMBER('Registro Notas'!$D13:$R13)*'Registro Notas'!$D13:$R13)/SUMPRODUCT(('Matriz Criterios'!$H$10:$V$10="X")*ISNUMBER('Registro Notas'!$D13:$R13)))</f>
        <v/>
      </c>
      <c r="H13" s="39">
        <f>IF(SUMPRODUCT(('Matriz Criterios'!$H$11:$V$11="X")*ISNUMBER('Registro Notas'!$D13:$R13))=0, "-", SUMPRODUCT(('Matriz Criterios'!$H$11:$V$11="X")*ISNUMBER('Registro Notas'!$D13:$R13)*'Registro Notas'!$D13:$R13)/SUMPRODUCT(('Matriz Criterios'!$H$11:$V$11="X")*ISNUMBER('Registro Notas'!$D13:$R13)))</f>
        <v/>
      </c>
      <c r="I13" s="39">
        <f>IF(SUMPRODUCT(('Matriz Criterios'!$H$12:$V$12="X")*ISNUMBER('Registro Notas'!$D13:$R13))=0, "-", SUMPRODUCT(('Matriz Criterios'!$H$12:$V$12="X")*ISNUMBER('Registro Notas'!$D13:$R13)*'Registro Notas'!$D13:$R13)/SUMPRODUCT(('Matriz Criterios'!$H$12:$V$12="X")*ISNUMBER('Registro Notas'!$D13:$R13)))</f>
        <v/>
      </c>
      <c r="J13" s="39">
        <f>IF(SUMPRODUCT(('Matriz Criterios'!$H$13:$V$13="X")*ISNUMBER('Registro Notas'!$D13:$R13))=0, "-", SUMPRODUCT(('Matriz Criterios'!$H$13:$V$13="X")*ISNUMBER('Registro Notas'!$D13:$R13)*'Registro Notas'!$D13:$R13)/SUMPRODUCT(('Matriz Criterios'!$H$13:$V$13="X")*ISNUMBER('Registro Notas'!$D13:$R13)))</f>
        <v/>
      </c>
      <c r="K13" s="39">
        <f>IF(SUMPRODUCT(('Matriz Criterios'!$H$14:$V$14="X")*ISNUMBER('Registro Notas'!$D13:$R13))=0, "-", SUMPRODUCT(('Matriz Criterios'!$H$14:$V$14="X")*ISNUMBER('Registro Notas'!$D13:$R13)*'Registro Notas'!$D13:$R13)/SUMPRODUCT(('Matriz Criterios'!$H$14:$V$14="X")*ISNUMBER('Registro Notas'!$D13:$R13)))</f>
        <v/>
      </c>
      <c r="L13" s="39">
        <f>IF(SUMPRODUCT(('Matriz Criterios'!$H$15:$V$15="X")*ISNUMBER('Registro Notas'!$D13:$R13))=0, "-", SUMPRODUCT(('Matriz Criterios'!$H$15:$V$15="X")*ISNUMBER('Registro Notas'!$D13:$R13)*'Registro Notas'!$D13:$R13)/SUMPRODUCT(('Matriz Criterios'!$H$15:$V$15="X")*ISNUMBER('Registro Notas'!$D13:$R13)))</f>
        <v/>
      </c>
      <c r="M13" s="39">
        <f>IF(SUMPRODUCT(('Matriz Criterios'!$H$16:$V$16="X")*ISNUMBER('Registro Notas'!$D13:$R13))=0, "-", SUMPRODUCT(('Matriz Criterios'!$H$16:$V$16="X")*ISNUMBER('Registro Notas'!$D13:$R13)*'Registro Notas'!$D13:$R13)/SUMPRODUCT(('Matriz Criterios'!$H$16:$V$16="X")*ISNUMBER('Registro Notas'!$D13:$R13)))</f>
        <v/>
      </c>
      <c r="N13" s="39">
        <f>IF(SUMPRODUCT(('Matriz Criterios'!$H$17:$V$17="X")*ISNUMBER('Registro Notas'!$D13:$R13))=0, "-", SUMPRODUCT(('Matriz Criterios'!$H$17:$V$17="X")*ISNUMBER('Registro Notas'!$D13:$R13)*'Registro Notas'!$D13:$R13)/SUMPRODUCT(('Matriz Criterios'!$H$17:$V$17="X")*ISNUMBER('Registro Notas'!$D13:$R13)))</f>
        <v/>
      </c>
      <c r="O13" s="39">
        <f>IF(SUMPRODUCT(('Matriz Criterios'!$H$18:$V$18="X")*ISNUMBER('Registro Notas'!$D13:$R13))=0, "-", SUMPRODUCT(('Matriz Criterios'!$H$18:$V$18="X")*ISNUMBER('Registro Notas'!$D13:$R13)*'Registro Notas'!$D13:$R13)/SUMPRODUCT(('Matriz Criterios'!$H$18:$V$18="X")*ISNUMBER('Registro Notas'!$D13:$R13)))</f>
        <v/>
      </c>
      <c r="P13" s="39">
        <f>IF(SUMPRODUCT(('Matriz Criterios'!$H$19:$V$19="X")*ISNUMBER('Registro Notas'!$D13:$R13))=0, "-", SUMPRODUCT(('Matriz Criterios'!$H$19:$V$19="X")*ISNUMBER('Registro Notas'!$D13:$R13)*'Registro Notas'!$D13:$R13)/SUMPRODUCT(('Matriz Criterios'!$H$19:$V$19="X")*ISNUMBER('Registro Notas'!$D13:$R13)))</f>
        <v/>
      </c>
      <c r="Q13" s="39">
        <f>IF(SUMPRODUCT(('Matriz Criterios'!$H$20:$V$20="X")*ISNUMBER('Registro Notas'!$D13:$R13))=0, "-", SUMPRODUCT(('Matriz Criterios'!$H$20:$V$20="X")*ISNUMBER('Registro Notas'!$D13:$R13)*'Registro Notas'!$D13:$R13)/SUMPRODUCT(('Matriz Criterios'!$H$20:$V$20="X")*ISNUMBER('Registro Notas'!$D13:$R13)))</f>
        <v/>
      </c>
      <c r="R13" s="39">
        <f>IF(SUMPRODUCT(('Matriz Criterios'!$H$21:$V$21="X")*ISNUMBER('Registro Notas'!$D13:$R13))=0, "-", SUMPRODUCT(('Matriz Criterios'!$H$21:$V$21="X")*ISNUMBER('Registro Notas'!$D13:$R13)*'Registro Notas'!$D13:$R13)/SUMPRODUCT(('Matriz Criterios'!$H$21:$V$21="X")*ISNUMBER('Registro Notas'!$D13:$R13)))</f>
        <v/>
      </c>
      <c r="S13" s="39">
        <f>IF(SUMPRODUCT(('Matriz Criterios'!$H$22:$V$22="X")*ISNUMBER('Registro Notas'!$D13:$R13))=0, "-", SUMPRODUCT(('Matriz Criterios'!$H$22:$V$22="X")*ISNUMBER('Registro Notas'!$D13:$R13)*'Registro Notas'!$D13:$R13)/SUMPRODUCT(('Matriz Criterios'!$H$22:$V$22="X")*ISNUMBER('Registro Notas'!$D13:$R13)))</f>
        <v/>
      </c>
      <c r="T13" s="39">
        <f>IF(SUMPRODUCT(('Matriz Criterios'!$H$23:$V$23="X")*ISNUMBER('Registro Notas'!$D13:$R13))=0, "-", SUMPRODUCT(('Matriz Criterios'!$H$23:$V$23="X")*ISNUMBER('Registro Notas'!$D13:$R13)*'Registro Notas'!$D13:$R13)/SUMPRODUCT(('Matriz Criterios'!$H$23:$V$23="X")*ISNUMBER('Registro Notas'!$D13:$R13)))</f>
        <v/>
      </c>
      <c r="U13" s="39">
        <f>IF(SUMPRODUCT(('Matriz Criterios'!$H$24:$V$24="X")*ISNUMBER('Registro Notas'!$D13:$R13))=0, "-", SUMPRODUCT(('Matriz Criterios'!$H$24:$V$24="X")*ISNUMBER('Registro Notas'!$D13:$R13)*'Registro Notas'!$D13:$R13)/SUMPRODUCT(('Matriz Criterios'!$H$24:$V$24="X")*ISNUMBER('Registro Notas'!$D13:$R13)))</f>
        <v/>
      </c>
      <c r="V13" s="39">
        <f>IF(SUMPRODUCT(('Matriz Criterios'!$H$25:$V$25="X")*ISNUMBER('Registro Notas'!$D13:$R13))=0, "-", SUMPRODUCT(('Matriz Criterios'!$H$25:$V$25="X")*ISNUMBER('Registro Notas'!$D13:$R13)*'Registro Notas'!$D13:$R13)/SUMPRODUCT(('Matriz Criterios'!$H$25:$V$25="X")*ISNUMBER('Registro Notas'!$D13:$R13)))</f>
        <v/>
      </c>
      <c r="W13" s="39">
        <f>IF(SUMPRODUCT(('Matriz Criterios'!$H$26:$V$26="X")*ISNUMBER('Registro Notas'!$D13:$R13))=0, "-", SUMPRODUCT(('Matriz Criterios'!$H$26:$V$26="X")*ISNUMBER('Registro Notas'!$D13:$R13)*'Registro Notas'!$D13:$R13)/SUMPRODUCT(('Matriz Criterios'!$H$26:$V$26="X")*ISNUMBER('Registro Notas'!$D13:$R13)))</f>
        <v/>
      </c>
      <c r="X13" s="39">
        <f>IF(SUMPRODUCT(('Matriz Criterios'!$H$27:$V$27="X")*ISNUMBER('Registro Notas'!$D13:$R13))=0, "-", SUMPRODUCT(('Matriz Criterios'!$H$27:$V$27="X")*ISNUMBER('Registro Notas'!$D13:$R13)*'Registro Notas'!$D13:$R13)/SUMPRODUCT(('Matriz Criterios'!$H$27:$V$27="X")*ISNUMBER('Registro Notas'!$D13:$R13)))</f>
        <v/>
      </c>
      <c r="Y13" s="39">
        <f>IF(SUMPRODUCT(('Matriz Criterios'!$H$28:$V$28="X")*ISNUMBER('Registro Notas'!$D13:$R13))=0, "-", SUMPRODUCT(('Matriz Criterios'!$H$28:$V$28="X")*ISNUMBER('Registro Notas'!$D13:$R13)*'Registro Notas'!$D13:$R13)/SUMPRODUCT(('Matriz Criterios'!$H$28:$V$28="X")*ISNUMBER('Registro Notas'!$D13:$R13)))</f>
        <v/>
      </c>
      <c r="Z13" s="39">
        <f>IF(SUMPRODUCT(('Matriz Criterios'!$H$29:$V$29="X")*ISNUMBER('Registro Notas'!$D13:$R13))=0, "-", SUMPRODUCT(('Matriz Criterios'!$H$29:$V$29="X")*ISNUMBER('Registro Notas'!$D13:$R13)*'Registro Notas'!$D13:$R13)/SUMPRODUCT(('Matriz Criterios'!$H$29:$V$29="X")*ISNUMBER('Registro Notas'!$D13:$R13)))</f>
        <v/>
      </c>
      <c r="AA13" s="39">
        <f>IF(SUMPRODUCT(('Matriz Criterios'!$H$30:$V$30="X")*ISNUMBER('Registro Notas'!$D13:$R13))=0, "-", SUMPRODUCT(('Matriz Criterios'!$H$30:$V$30="X")*ISNUMBER('Registro Notas'!$D13:$R13)*'Registro Notas'!$D13:$R13)/SUMPRODUCT(('Matriz Criterios'!$H$30:$V$30="X")*ISNUMBER('Registro Notas'!$D13:$R13)))</f>
        <v/>
      </c>
      <c r="AB13" s="39">
        <f>IF(SUMPRODUCT(('Matriz Criterios'!$H$31:$V$31="X")*ISNUMBER('Registro Notas'!$D13:$R13))=0, "-", SUMPRODUCT(('Matriz Criterios'!$H$31:$V$31="X")*ISNUMBER('Registro Notas'!$D13:$R13)*'Registro Notas'!$D13:$R13)/SUMPRODUCT(('Matriz Criterios'!$H$31:$V$31="X")*ISNUMBER('Registro Notas'!$D13:$R13)))</f>
        <v/>
      </c>
      <c r="AC13" s="39">
        <f>IF(SUMPRODUCT(('Matriz Criterios'!$H$32:$V$32="X")*ISNUMBER('Registro Notas'!$D13:$R13))=0, "-", SUMPRODUCT(('Matriz Criterios'!$H$32:$V$32="X")*ISNUMBER('Registro Notas'!$D13:$R13)*'Registro Notas'!$D13:$R13)/SUMPRODUCT(('Matriz Criterios'!$H$32:$V$32="X")*ISNUMBER('Registro Notas'!$D13:$R13)))</f>
        <v/>
      </c>
      <c r="AD13" s="39">
        <f>IF(SUMPRODUCT(('Matriz Criterios'!$H$33:$V$33="X")*ISNUMBER('Registro Notas'!$D13:$R13))=0, "-", SUMPRODUCT(('Matriz Criterios'!$H$33:$V$33="X")*ISNUMBER('Registro Notas'!$D13:$R13)*'Registro Notas'!$D13:$R13)/SUMPRODUCT(('Matriz Criterios'!$H$33:$V$33="X")*ISNUMBER('Registro Notas'!$D13:$R13)))</f>
        <v/>
      </c>
      <c r="AE13" s="39">
        <f>IF(SUMPRODUCT(('Matriz Criterios'!$H$34:$V$34="X")*ISNUMBER('Registro Notas'!$D13:$R13))=0, "-", SUMPRODUCT(('Matriz Criterios'!$H$34:$V$34="X")*ISNUMBER('Registro Notas'!$D13:$R13)*'Registro Notas'!$D13:$R13)/SUMPRODUCT(('Matriz Criterios'!$H$34:$V$34="X")*ISNUMBER('Registro Notas'!$D13:$R13)))</f>
        <v/>
      </c>
      <c r="AF13" s="39">
        <f>IF(SUMPRODUCT(('Matriz Criterios'!$H$35:$V$35="X")*ISNUMBER('Registro Notas'!$D13:$R13))=0, "-", SUMPRODUCT(('Matriz Criterios'!$H$35:$V$35="X")*ISNUMBER('Registro Notas'!$D13:$R13)*'Registro Notas'!$D13:$R13)/SUMPRODUCT(('Matriz Criterios'!$H$35:$V$35="X")*ISNUMBER('Registro Notas'!$D13:$R13)))</f>
        <v/>
      </c>
      <c r="AG13" s="39">
        <f>IF(SUMPRODUCT(('Matriz Criterios'!$H$36:$V$36="X")*ISNUMBER('Registro Notas'!$D13:$R13))=0, "-", SUMPRODUCT(('Matriz Criterios'!$H$36:$V$36="X")*ISNUMBER('Registro Notas'!$D13:$R13)*'Registro Notas'!$D13:$R13)/SUMPRODUCT(('Matriz Criterios'!$H$36:$V$36="X")*ISNUMBER('Registro Notas'!$D13:$R13)))</f>
        <v/>
      </c>
      <c r="AH13" s="39">
        <f>IF(SUMPRODUCT(('Matriz Criterios'!$H$37:$V$37="X")*ISNUMBER('Registro Notas'!$D13:$R13))=0, "-", SUMPRODUCT(('Matriz Criterios'!$H$37:$V$37="X")*ISNUMBER('Registro Notas'!$D13:$R13)*'Registro Notas'!$D13:$R13)/SUMPRODUCT(('Matriz Criterios'!$H$37:$V$37="X")*ISNUMBER('Registro Notas'!$D13:$R13)))</f>
        <v/>
      </c>
      <c r="AI13" s="39">
        <f>IF(SUMPRODUCT(('Matriz Criterios'!$H$38:$V$38="X")*ISNUMBER('Registro Notas'!$D13:$R13))=0, "-", SUMPRODUCT(('Matriz Criterios'!$H$38:$V$38="X")*ISNUMBER('Registro Notas'!$D13:$R13)*'Registro Notas'!$D13:$R13)/SUMPRODUCT(('Matriz Criterios'!$H$38:$V$38="X")*ISNUMBER('Registro Notas'!$D13:$R13)))</f>
        <v/>
      </c>
      <c r="AJ13" s="39">
        <f>IF(SUMPRODUCT(('Matriz Criterios'!$H$39:$V$39="X")*ISNUMBER('Registro Notas'!$D13:$R13))=0, "-", SUMPRODUCT(('Matriz Criterios'!$H$39:$V$39="X")*ISNUMBER('Registro Notas'!$D13:$R13)*'Registro Notas'!$D13:$R13)/SUMPRODUCT(('Matriz Criterios'!$H$39:$V$39="X")*ISNUMBER('Registro Notas'!$D13:$R13)))</f>
        <v/>
      </c>
      <c r="AK13" s="39">
        <f>IF(SUMPRODUCT(('Matriz Criterios'!$H$40:$V$40="X")*ISNUMBER('Registro Notas'!$D13:$R13))=0, "-", SUMPRODUCT(('Matriz Criterios'!$H$40:$V$40="X")*ISNUMBER('Registro Notas'!$D13:$R13)*'Registro Notas'!$D13:$R13)/SUMPRODUCT(('Matriz Criterios'!$H$40:$V$40="X")*ISNUMBER('Registro Notas'!$D13:$R13)))</f>
        <v/>
      </c>
      <c r="AL13" s="39">
        <f>IF(SUMPRODUCT(('Matriz Criterios'!$H$41:$V$41="X")*ISNUMBER('Registro Notas'!$D13:$R13))=0, "-", SUMPRODUCT(('Matriz Criterios'!$H$41:$V$41="X")*ISNUMBER('Registro Notas'!$D13:$R13)*'Registro Notas'!$D13:$R13)/SUMPRODUCT(('Matriz Criterios'!$H$41:$V$41="X")*ISNUMBER('Registro Notas'!$D13:$R13)))</f>
        <v/>
      </c>
      <c r="AM13" s="39">
        <f>IF(SUMPRODUCT(('Matriz Criterios'!$H$42:$V$42="X")*ISNUMBER('Registro Notas'!$D13:$R13))=0, "-", SUMPRODUCT(('Matriz Criterios'!$H$42:$V$42="X")*ISNUMBER('Registro Notas'!$D13:$R13)*'Registro Notas'!$D13:$R13)/SUMPRODUCT(('Matriz Criterios'!$H$42:$V$42="X")*ISNUMBER('Registro Notas'!$D13:$R13)))</f>
        <v/>
      </c>
      <c r="AN13" s="39">
        <f>IF(SUMPRODUCT(('Matriz Criterios'!$H$43:$V$43="X")*ISNUMBER('Registro Notas'!$D13:$R13))=0, "-", SUMPRODUCT(('Matriz Criterios'!$H$43:$V$43="X")*ISNUMBER('Registro Notas'!$D13:$R13)*'Registro Notas'!$D13:$R13)/SUMPRODUCT(('Matriz Criterios'!$H$43:$V$43="X")*ISNUMBER('Registro Notas'!$D13:$R13)))</f>
        <v/>
      </c>
      <c r="AO13" s="39">
        <f>IF(SUMPRODUCT(('Matriz Criterios'!$H$44:$V$44="X")*ISNUMBER('Registro Notas'!$D13:$R13))=0, "-", SUMPRODUCT(('Matriz Criterios'!$H$44:$V$44="X")*ISNUMBER('Registro Notas'!$D13:$R13)*'Registro Notas'!$D13:$R13)/SUMPRODUCT(('Matriz Criterios'!$H$44:$V$44="X")*ISNUMBER('Registro Notas'!$D13:$R13)))</f>
        <v/>
      </c>
      <c r="AP13" s="39">
        <f>IF(SUMPRODUCT(('Matriz Criterios'!$H$45:$V$45="X")*ISNUMBER('Registro Notas'!$D13:$R13))=0, "-", SUMPRODUCT(('Matriz Criterios'!$H$45:$V$45="X")*ISNUMBER('Registro Notas'!$D13:$R13)*'Registro Notas'!$D13:$R13)/SUMPRODUCT(('Matriz Criterios'!$H$45:$V$45="X")*ISNUMBER('Registro Notas'!$D13:$R13)))</f>
        <v/>
      </c>
      <c r="AQ13" s="49">
        <f>AVERAGE(C13:AP13)</f>
        <v/>
      </c>
      <c r="AR13" s="50">
        <f>COUNTIF(C13:AP13, "&gt;=5")</f>
        <v/>
      </c>
    </row>
    <row r="14" ht="20" customHeight="1">
      <c r="A14" s="13" t="n">
        <v>9</v>
      </c>
      <c r="B14" s="34" t="inlineStr">
        <is>
          <t>López Molina, Sara</t>
        </is>
      </c>
      <c r="C14" s="35">
        <f>IF(SUMPRODUCT(('Matriz Criterios'!$H$6:$V$6="X")*ISNUMBER('Registro Notas'!$D14:$R14))=0, "-", SUMPRODUCT(('Matriz Criterios'!$H$6:$V$6="X")*ISNUMBER('Registro Notas'!$D14:$R14)*'Registro Notas'!$D14:$R14)/SUMPRODUCT(('Matriz Criterios'!$H$6:$V$6="X")*ISNUMBER('Registro Notas'!$D14:$R14)))</f>
        <v/>
      </c>
      <c r="D14" s="35">
        <f>IF(SUMPRODUCT(('Matriz Criterios'!$H$7:$V$7="X")*ISNUMBER('Registro Notas'!$D14:$R14))=0, "-", SUMPRODUCT(('Matriz Criterios'!$H$7:$V$7="X")*ISNUMBER('Registro Notas'!$D14:$R14)*'Registro Notas'!$D14:$R14)/SUMPRODUCT(('Matriz Criterios'!$H$7:$V$7="X")*ISNUMBER('Registro Notas'!$D14:$R14)))</f>
        <v/>
      </c>
      <c r="E14" s="35">
        <f>IF(SUMPRODUCT(('Matriz Criterios'!$H$8:$V$8="X")*ISNUMBER('Registro Notas'!$D14:$R14))=0, "-", SUMPRODUCT(('Matriz Criterios'!$H$8:$V$8="X")*ISNUMBER('Registro Notas'!$D14:$R14)*'Registro Notas'!$D14:$R14)/SUMPRODUCT(('Matriz Criterios'!$H$8:$V$8="X")*ISNUMBER('Registro Notas'!$D14:$R14)))</f>
        <v/>
      </c>
      <c r="F14" s="35">
        <f>IF(SUMPRODUCT(('Matriz Criterios'!$H$9:$V$9="X")*ISNUMBER('Registro Notas'!$D14:$R14))=0, "-", SUMPRODUCT(('Matriz Criterios'!$H$9:$V$9="X")*ISNUMBER('Registro Notas'!$D14:$R14)*'Registro Notas'!$D14:$R14)/SUMPRODUCT(('Matriz Criterios'!$H$9:$V$9="X")*ISNUMBER('Registro Notas'!$D14:$R14)))</f>
        <v/>
      </c>
      <c r="G14" s="35">
        <f>IF(SUMPRODUCT(('Matriz Criterios'!$H$10:$V$10="X")*ISNUMBER('Registro Notas'!$D14:$R14))=0, "-", SUMPRODUCT(('Matriz Criterios'!$H$10:$V$10="X")*ISNUMBER('Registro Notas'!$D14:$R14)*'Registro Notas'!$D14:$R14)/SUMPRODUCT(('Matriz Criterios'!$H$10:$V$10="X")*ISNUMBER('Registro Notas'!$D14:$R14)))</f>
        <v/>
      </c>
      <c r="H14" s="35">
        <f>IF(SUMPRODUCT(('Matriz Criterios'!$H$11:$V$11="X")*ISNUMBER('Registro Notas'!$D14:$R14))=0, "-", SUMPRODUCT(('Matriz Criterios'!$H$11:$V$11="X")*ISNUMBER('Registro Notas'!$D14:$R14)*'Registro Notas'!$D14:$R14)/SUMPRODUCT(('Matriz Criterios'!$H$11:$V$11="X")*ISNUMBER('Registro Notas'!$D14:$R14)))</f>
        <v/>
      </c>
      <c r="I14" s="35">
        <f>IF(SUMPRODUCT(('Matriz Criterios'!$H$12:$V$12="X")*ISNUMBER('Registro Notas'!$D14:$R14))=0, "-", SUMPRODUCT(('Matriz Criterios'!$H$12:$V$12="X")*ISNUMBER('Registro Notas'!$D14:$R14)*'Registro Notas'!$D14:$R14)/SUMPRODUCT(('Matriz Criterios'!$H$12:$V$12="X")*ISNUMBER('Registro Notas'!$D14:$R14)))</f>
        <v/>
      </c>
      <c r="J14" s="35">
        <f>IF(SUMPRODUCT(('Matriz Criterios'!$H$13:$V$13="X")*ISNUMBER('Registro Notas'!$D14:$R14))=0, "-", SUMPRODUCT(('Matriz Criterios'!$H$13:$V$13="X")*ISNUMBER('Registro Notas'!$D14:$R14)*'Registro Notas'!$D14:$R14)/SUMPRODUCT(('Matriz Criterios'!$H$13:$V$13="X")*ISNUMBER('Registro Notas'!$D14:$R14)))</f>
        <v/>
      </c>
      <c r="K14" s="35">
        <f>IF(SUMPRODUCT(('Matriz Criterios'!$H$14:$V$14="X")*ISNUMBER('Registro Notas'!$D14:$R14))=0, "-", SUMPRODUCT(('Matriz Criterios'!$H$14:$V$14="X")*ISNUMBER('Registro Notas'!$D14:$R14)*'Registro Notas'!$D14:$R14)/SUMPRODUCT(('Matriz Criterios'!$H$14:$V$14="X")*ISNUMBER('Registro Notas'!$D14:$R14)))</f>
        <v/>
      </c>
      <c r="L14" s="35">
        <f>IF(SUMPRODUCT(('Matriz Criterios'!$H$15:$V$15="X")*ISNUMBER('Registro Notas'!$D14:$R14))=0, "-", SUMPRODUCT(('Matriz Criterios'!$H$15:$V$15="X")*ISNUMBER('Registro Notas'!$D14:$R14)*'Registro Notas'!$D14:$R14)/SUMPRODUCT(('Matriz Criterios'!$H$15:$V$15="X")*ISNUMBER('Registro Notas'!$D14:$R14)))</f>
        <v/>
      </c>
      <c r="M14" s="35">
        <f>IF(SUMPRODUCT(('Matriz Criterios'!$H$16:$V$16="X")*ISNUMBER('Registro Notas'!$D14:$R14))=0, "-", SUMPRODUCT(('Matriz Criterios'!$H$16:$V$16="X")*ISNUMBER('Registro Notas'!$D14:$R14)*'Registro Notas'!$D14:$R14)/SUMPRODUCT(('Matriz Criterios'!$H$16:$V$16="X")*ISNUMBER('Registro Notas'!$D14:$R14)))</f>
        <v/>
      </c>
      <c r="N14" s="35">
        <f>IF(SUMPRODUCT(('Matriz Criterios'!$H$17:$V$17="X")*ISNUMBER('Registro Notas'!$D14:$R14))=0, "-", SUMPRODUCT(('Matriz Criterios'!$H$17:$V$17="X")*ISNUMBER('Registro Notas'!$D14:$R14)*'Registro Notas'!$D14:$R14)/SUMPRODUCT(('Matriz Criterios'!$H$17:$V$17="X")*ISNUMBER('Registro Notas'!$D14:$R14)))</f>
        <v/>
      </c>
      <c r="O14" s="35">
        <f>IF(SUMPRODUCT(('Matriz Criterios'!$H$18:$V$18="X")*ISNUMBER('Registro Notas'!$D14:$R14))=0, "-", SUMPRODUCT(('Matriz Criterios'!$H$18:$V$18="X")*ISNUMBER('Registro Notas'!$D14:$R14)*'Registro Notas'!$D14:$R14)/SUMPRODUCT(('Matriz Criterios'!$H$18:$V$18="X")*ISNUMBER('Registro Notas'!$D14:$R14)))</f>
        <v/>
      </c>
      <c r="P14" s="35">
        <f>IF(SUMPRODUCT(('Matriz Criterios'!$H$19:$V$19="X")*ISNUMBER('Registro Notas'!$D14:$R14))=0, "-", SUMPRODUCT(('Matriz Criterios'!$H$19:$V$19="X")*ISNUMBER('Registro Notas'!$D14:$R14)*'Registro Notas'!$D14:$R14)/SUMPRODUCT(('Matriz Criterios'!$H$19:$V$19="X")*ISNUMBER('Registro Notas'!$D14:$R14)))</f>
        <v/>
      </c>
      <c r="Q14" s="35">
        <f>IF(SUMPRODUCT(('Matriz Criterios'!$H$20:$V$20="X")*ISNUMBER('Registro Notas'!$D14:$R14))=0, "-", SUMPRODUCT(('Matriz Criterios'!$H$20:$V$20="X")*ISNUMBER('Registro Notas'!$D14:$R14)*'Registro Notas'!$D14:$R14)/SUMPRODUCT(('Matriz Criterios'!$H$20:$V$20="X")*ISNUMBER('Registro Notas'!$D14:$R14)))</f>
        <v/>
      </c>
      <c r="R14" s="35">
        <f>IF(SUMPRODUCT(('Matriz Criterios'!$H$21:$V$21="X")*ISNUMBER('Registro Notas'!$D14:$R14))=0, "-", SUMPRODUCT(('Matriz Criterios'!$H$21:$V$21="X")*ISNUMBER('Registro Notas'!$D14:$R14)*'Registro Notas'!$D14:$R14)/SUMPRODUCT(('Matriz Criterios'!$H$21:$V$21="X")*ISNUMBER('Registro Notas'!$D14:$R14)))</f>
        <v/>
      </c>
      <c r="S14" s="35">
        <f>IF(SUMPRODUCT(('Matriz Criterios'!$H$22:$V$22="X")*ISNUMBER('Registro Notas'!$D14:$R14))=0, "-", SUMPRODUCT(('Matriz Criterios'!$H$22:$V$22="X")*ISNUMBER('Registro Notas'!$D14:$R14)*'Registro Notas'!$D14:$R14)/SUMPRODUCT(('Matriz Criterios'!$H$22:$V$22="X")*ISNUMBER('Registro Notas'!$D14:$R14)))</f>
        <v/>
      </c>
      <c r="T14" s="35">
        <f>IF(SUMPRODUCT(('Matriz Criterios'!$H$23:$V$23="X")*ISNUMBER('Registro Notas'!$D14:$R14))=0, "-", SUMPRODUCT(('Matriz Criterios'!$H$23:$V$23="X")*ISNUMBER('Registro Notas'!$D14:$R14)*'Registro Notas'!$D14:$R14)/SUMPRODUCT(('Matriz Criterios'!$H$23:$V$23="X")*ISNUMBER('Registro Notas'!$D14:$R14)))</f>
        <v/>
      </c>
      <c r="U14" s="35">
        <f>IF(SUMPRODUCT(('Matriz Criterios'!$H$24:$V$24="X")*ISNUMBER('Registro Notas'!$D14:$R14))=0, "-", SUMPRODUCT(('Matriz Criterios'!$H$24:$V$24="X")*ISNUMBER('Registro Notas'!$D14:$R14)*'Registro Notas'!$D14:$R14)/SUMPRODUCT(('Matriz Criterios'!$H$24:$V$24="X")*ISNUMBER('Registro Notas'!$D14:$R14)))</f>
        <v/>
      </c>
      <c r="V14" s="35">
        <f>IF(SUMPRODUCT(('Matriz Criterios'!$H$25:$V$25="X")*ISNUMBER('Registro Notas'!$D14:$R14))=0, "-", SUMPRODUCT(('Matriz Criterios'!$H$25:$V$25="X")*ISNUMBER('Registro Notas'!$D14:$R14)*'Registro Notas'!$D14:$R14)/SUMPRODUCT(('Matriz Criterios'!$H$25:$V$25="X")*ISNUMBER('Registro Notas'!$D14:$R14)))</f>
        <v/>
      </c>
      <c r="W14" s="35">
        <f>IF(SUMPRODUCT(('Matriz Criterios'!$H$26:$V$26="X")*ISNUMBER('Registro Notas'!$D14:$R14))=0, "-", SUMPRODUCT(('Matriz Criterios'!$H$26:$V$26="X")*ISNUMBER('Registro Notas'!$D14:$R14)*'Registro Notas'!$D14:$R14)/SUMPRODUCT(('Matriz Criterios'!$H$26:$V$26="X")*ISNUMBER('Registro Notas'!$D14:$R14)))</f>
        <v/>
      </c>
      <c r="X14" s="35">
        <f>IF(SUMPRODUCT(('Matriz Criterios'!$H$27:$V$27="X")*ISNUMBER('Registro Notas'!$D14:$R14))=0, "-", SUMPRODUCT(('Matriz Criterios'!$H$27:$V$27="X")*ISNUMBER('Registro Notas'!$D14:$R14)*'Registro Notas'!$D14:$R14)/SUMPRODUCT(('Matriz Criterios'!$H$27:$V$27="X")*ISNUMBER('Registro Notas'!$D14:$R14)))</f>
        <v/>
      </c>
      <c r="Y14" s="35">
        <f>IF(SUMPRODUCT(('Matriz Criterios'!$H$28:$V$28="X")*ISNUMBER('Registro Notas'!$D14:$R14))=0, "-", SUMPRODUCT(('Matriz Criterios'!$H$28:$V$28="X")*ISNUMBER('Registro Notas'!$D14:$R14)*'Registro Notas'!$D14:$R14)/SUMPRODUCT(('Matriz Criterios'!$H$28:$V$28="X")*ISNUMBER('Registro Notas'!$D14:$R14)))</f>
        <v/>
      </c>
      <c r="Z14" s="35">
        <f>IF(SUMPRODUCT(('Matriz Criterios'!$H$29:$V$29="X")*ISNUMBER('Registro Notas'!$D14:$R14))=0, "-", SUMPRODUCT(('Matriz Criterios'!$H$29:$V$29="X")*ISNUMBER('Registro Notas'!$D14:$R14)*'Registro Notas'!$D14:$R14)/SUMPRODUCT(('Matriz Criterios'!$H$29:$V$29="X")*ISNUMBER('Registro Notas'!$D14:$R14)))</f>
        <v/>
      </c>
      <c r="AA14" s="35">
        <f>IF(SUMPRODUCT(('Matriz Criterios'!$H$30:$V$30="X")*ISNUMBER('Registro Notas'!$D14:$R14))=0, "-", SUMPRODUCT(('Matriz Criterios'!$H$30:$V$30="X")*ISNUMBER('Registro Notas'!$D14:$R14)*'Registro Notas'!$D14:$R14)/SUMPRODUCT(('Matriz Criterios'!$H$30:$V$30="X")*ISNUMBER('Registro Notas'!$D14:$R14)))</f>
        <v/>
      </c>
      <c r="AB14" s="35">
        <f>IF(SUMPRODUCT(('Matriz Criterios'!$H$31:$V$31="X")*ISNUMBER('Registro Notas'!$D14:$R14))=0, "-", SUMPRODUCT(('Matriz Criterios'!$H$31:$V$31="X")*ISNUMBER('Registro Notas'!$D14:$R14)*'Registro Notas'!$D14:$R14)/SUMPRODUCT(('Matriz Criterios'!$H$31:$V$31="X")*ISNUMBER('Registro Notas'!$D14:$R14)))</f>
        <v/>
      </c>
      <c r="AC14" s="35">
        <f>IF(SUMPRODUCT(('Matriz Criterios'!$H$32:$V$32="X")*ISNUMBER('Registro Notas'!$D14:$R14))=0, "-", SUMPRODUCT(('Matriz Criterios'!$H$32:$V$32="X")*ISNUMBER('Registro Notas'!$D14:$R14)*'Registro Notas'!$D14:$R14)/SUMPRODUCT(('Matriz Criterios'!$H$32:$V$32="X")*ISNUMBER('Registro Notas'!$D14:$R14)))</f>
        <v/>
      </c>
      <c r="AD14" s="35">
        <f>IF(SUMPRODUCT(('Matriz Criterios'!$H$33:$V$33="X")*ISNUMBER('Registro Notas'!$D14:$R14))=0, "-", SUMPRODUCT(('Matriz Criterios'!$H$33:$V$33="X")*ISNUMBER('Registro Notas'!$D14:$R14)*'Registro Notas'!$D14:$R14)/SUMPRODUCT(('Matriz Criterios'!$H$33:$V$33="X")*ISNUMBER('Registro Notas'!$D14:$R14)))</f>
        <v/>
      </c>
      <c r="AE14" s="35">
        <f>IF(SUMPRODUCT(('Matriz Criterios'!$H$34:$V$34="X")*ISNUMBER('Registro Notas'!$D14:$R14))=0, "-", SUMPRODUCT(('Matriz Criterios'!$H$34:$V$34="X")*ISNUMBER('Registro Notas'!$D14:$R14)*'Registro Notas'!$D14:$R14)/SUMPRODUCT(('Matriz Criterios'!$H$34:$V$34="X")*ISNUMBER('Registro Notas'!$D14:$R14)))</f>
        <v/>
      </c>
      <c r="AF14" s="35">
        <f>IF(SUMPRODUCT(('Matriz Criterios'!$H$35:$V$35="X")*ISNUMBER('Registro Notas'!$D14:$R14))=0, "-", SUMPRODUCT(('Matriz Criterios'!$H$35:$V$35="X")*ISNUMBER('Registro Notas'!$D14:$R14)*'Registro Notas'!$D14:$R14)/SUMPRODUCT(('Matriz Criterios'!$H$35:$V$35="X")*ISNUMBER('Registro Notas'!$D14:$R14)))</f>
        <v/>
      </c>
      <c r="AG14" s="35">
        <f>IF(SUMPRODUCT(('Matriz Criterios'!$H$36:$V$36="X")*ISNUMBER('Registro Notas'!$D14:$R14))=0, "-", SUMPRODUCT(('Matriz Criterios'!$H$36:$V$36="X")*ISNUMBER('Registro Notas'!$D14:$R14)*'Registro Notas'!$D14:$R14)/SUMPRODUCT(('Matriz Criterios'!$H$36:$V$36="X")*ISNUMBER('Registro Notas'!$D14:$R14)))</f>
        <v/>
      </c>
      <c r="AH14" s="35">
        <f>IF(SUMPRODUCT(('Matriz Criterios'!$H$37:$V$37="X")*ISNUMBER('Registro Notas'!$D14:$R14))=0, "-", SUMPRODUCT(('Matriz Criterios'!$H$37:$V$37="X")*ISNUMBER('Registro Notas'!$D14:$R14)*'Registro Notas'!$D14:$R14)/SUMPRODUCT(('Matriz Criterios'!$H$37:$V$37="X")*ISNUMBER('Registro Notas'!$D14:$R14)))</f>
        <v/>
      </c>
      <c r="AI14" s="35">
        <f>IF(SUMPRODUCT(('Matriz Criterios'!$H$38:$V$38="X")*ISNUMBER('Registro Notas'!$D14:$R14))=0, "-", SUMPRODUCT(('Matriz Criterios'!$H$38:$V$38="X")*ISNUMBER('Registro Notas'!$D14:$R14)*'Registro Notas'!$D14:$R14)/SUMPRODUCT(('Matriz Criterios'!$H$38:$V$38="X")*ISNUMBER('Registro Notas'!$D14:$R14)))</f>
        <v/>
      </c>
      <c r="AJ14" s="35">
        <f>IF(SUMPRODUCT(('Matriz Criterios'!$H$39:$V$39="X")*ISNUMBER('Registro Notas'!$D14:$R14))=0, "-", SUMPRODUCT(('Matriz Criterios'!$H$39:$V$39="X")*ISNUMBER('Registro Notas'!$D14:$R14)*'Registro Notas'!$D14:$R14)/SUMPRODUCT(('Matriz Criterios'!$H$39:$V$39="X")*ISNUMBER('Registro Notas'!$D14:$R14)))</f>
        <v/>
      </c>
      <c r="AK14" s="35">
        <f>IF(SUMPRODUCT(('Matriz Criterios'!$H$40:$V$40="X")*ISNUMBER('Registro Notas'!$D14:$R14))=0, "-", SUMPRODUCT(('Matriz Criterios'!$H$40:$V$40="X")*ISNUMBER('Registro Notas'!$D14:$R14)*'Registro Notas'!$D14:$R14)/SUMPRODUCT(('Matriz Criterios'!$H$40:$V$40="X")*ISNUMBER('Registro Notas'!$D14:$R14)))</f>
        <v/>
      </c>
      <c r="AL14" s="35">
        <f>IF(SUMPRODUCT(('Matriz Criterios'!$H$41:$V$41="X")*ISNUMBER('Registro Notas'!$D14:$R14))=0, "-", SUMPRODUCT(('Matriz Criterios'!$H$41:$V$41="X")*ISNUMBER('Registro Notas'!$D14:$R14)*'Registro Notas'!$D14:$R14)/SUMPRODUCT(('Matriz Criterios'!$H$41:$V$41="X")*ISNUMBER('Registro Notas'!$D14:$R14)))</f>
        <v/>
      </c>
      <c r="AM14" s="35">
        <f>IF(SUMPRODUCT(('Matriz Criterios'!$H$42:$V$42="X")*ISNUMBER('Registro Notas'!$D14:$R14))=0, "-", SUMPRODUCT(('Matriz Criterios'!$H$42:$V$42="X")*ISNUMBER('Registro Notas'!$D14:$R14)*'Registro Notas'!$D14:$R14)/SUMPRODUCT(('Matriz Criterios'!$H$42:$V$42="X")*ISNUMBER('Registro Notas'!$D14:$R14)))</f>
        <v/>
      </c>
      <c r="AN14" s="35">
        <f>IF(SUMPRODUCT(('Matriz Criterios'!$H$43:$V$43="X")*ISNUMBER('Registro Notas'!$D14:$R14))=0, "-", SUMPRODUCT(('Matriz Criterios'!$H$43:$V$43="X")*ISNUMBER('Registro Notas'!$D14:$R14)*'Registro Notas'!$D14:$R14)/SUMPRODUCT(('Matriz Criterios'!$H$43:$V$43="X")*ISNUMBER('Registro Notas'!$D14:$R14)))</f>
        <v/>
      </c>
      <c r="AO14" s="35">
        <f>IF(SUMPRODUCT(('Matriz Criterios'!$H$44:$V$44="X")*ISNUMBER('Registro Notas'!$D14:$R14))=0, "-", SUMPRODUCT(('Matriz Criterios'!$H$44:$V$44="X")*ISNUMBER('Registro Notas'!$D14:$R14)*'Registro Notas'!$D14:$R14)/SUMPRODUCT(('Matriz Criterios'!$H$44:$V$44="X")*ISNUMBER('Registro Notas'!$D14:$R14)))</f>
        <v/>
      </c>
      <c r="AP14" s="35">
        <f>IF(SUMPRODUCT(('Matriz Criterios'!$H$45:$V$45="X")*ISNUMBER('Registro Notas'!$D14:$R14))=0, "-", SUMPRODUCT(('Matriz Criterios'!$H$45:$V$45="X")*ISNUMBER('Registro Notas'!$D14:$R14)*'Registro Notas'!$D14:$R14)/SUMPRODUCT(('Matriz Criterios'!$H$45:$V$45="X")*ISNUMBER('Registro Notas'!$D14:$R14)))</f>
        <v/>
      </c>
      <c r="AQ14" s="49">
        <f>AVERAGE(C14:AP14)</f>
        <v/>
      </c>
      <c r="AR14" s="50">
        <f>COUNTIF(C14:AP14, "&gt;=5")</f>
        <v/>
      </c>
    </row>
    <row r="15" ht="20" customHeight="1">
      <c r="A15" s="21" t="n">
        <v>10</v>
      </c>
      <c r="B15" s="38" t="inlineStr">
        <is>
          <t>Martín Vega, Javier</t>
        </is>
      </c>
      <c r="C15" s="39">
        <f>IF(SUMPRODUCT(('Matriz Criterios'!$H$6:$V$6="X")*ISNUMBER('Registro Notas'!$D15:$R15))=0, "-", SUMPRODUCT(('Matriz Criterios'!$H$6:$V$6="X")*ISNUMBER('Registro Notas'!$D15:$R15)*'Registro Notas'!$D15:$R15)/SUMPRODUCT(('Matriz Criterios'!$H$6:$V$6="X")*ISNUMBER('Registro Notas'!$D15:$R15)))</f>
        <v/>
      </c>
      <c r="D15" s="39">
        <f>IF(SUMPRODUCT(('Matriz Criterios'!$H$7:$V$7="X")*ISNUMBER('Registro Notas'!$D15:$R15))=0, "-", SUMPRODUCT(('Matriz Criterios'!$H$7:$V$7="X")*ISNUMBER('Registro Notas'!$D15:$R15)*'Registro Notas'!$D15:$R15)/SUMPRODUCT(('Matriz Criterios'!$H$7:$V$7="X")*ISNUMBER('Registro Notas'!$D15:$R15)))</f>
        <v/>
      </c>
      <c r="E15" s="39">
        <f>IF(SUMPRODUCT(('Matriz Criterios'!$H$8:$V$8="X")*ISNUMBER('Registro Notas'!$D15:$R15))=0, "-", SUMPRODUCT(('Matriz Criterios'!$H$8:$V$8="X")*ISNUMBER('Registro Notas'!$D15:$R15)*'Registro Notas'!$D15:$R15)/SUMPRODUCT(('Matriz Criterios'!$H$8:$V$8="X")*ISNUMBER('Registro Notas'!$D15:$R15)))</f>
        <v/>
      </c>
      <c r="F15" s="39">
        <f>IF(SUMPRODUCT(('Matriz Criterios'!$H$9:$V$9="X")*ISNUMBER('Registro Notas'!$D15:$R15))=0, "-", SUMPRODUCT(('Matriz Criterios'!$H$9:$V$9="X")*ISNUMBER('Registro Notas'!$D15:$R15)*'Registro Notas'!$D15:$R15)/SUMPRODUCT(('Matriz Criterios'!$H$9:$V$9="X")*ISNUMBER('Registro Notas'!$D15:$R15)))</f>
        <v/>
      </c>
      <c r="G15" s="39">
        <f>IF(SUMPRODUCT(('Matriz Criterios'!$H$10:$V$10="X")*ISNUMBER('Registro Notas'!$D15:$R15))=0, "-", SUMPRODUCT(('Matriz Criterios'!$H$10:$V$10="X")*ISNUMBER('Registro Notas'!$D15:$R15)*'Registro Notas'!$D15:$R15)/SUMPRODUCT(('Matriz Criterios'!$H$10:$V$10="X")*ISNUMBER('Registro Notas'!$D15:$R15)))</f>
        <v/>
      </c>
      <c r="H15" s="39">
        <f>IF(SUMPRODUCT(('Matriz Criterios'!$H$11:$V$11="X")*ISNUMBER('Registro Notas'!$D15:$R15))=0, "-", SUMPRODUCT(('Matriz Criterios'!$H$11:$V$11="X")*ISNUMBER('Registro Notas'!$D15:$R15)*'Registro Notas'!$D15:$R15)/SUMPRODUCT(('Matriz Criterios'!$H$11:$V$11="X")*ISNUMBER('Registro Notas'!$D15:$R15)))</f>
        <v/>
      </c>
      <c r="I15" s="39">
        <f>IF(SUMPRODUCT(('Matriz Criterios'!$H$12:$V$12="X")*ISNUMBER('Registro Notas'!$D15:$R15))=0, "-", SUMPRODUCT(('Matriz Criterios'!$H$12:$V$12="X")*ISNUMBER('Registro Notas'!$D15:$R15)*'Registro Notas'!$D15:$R15)/SUMPRODUCT(('Matriz Criterios'!$H$12:$V$12="X")*ISNUMBER('Registro Notas'!$D15:$R15)))</f>
        <v/>
      </c>
      <c r="J15" s="39">
        <f>IF(SUMPRODUCT(('Matriz Criterios'!$H$13:$V$13="X")*ISNUMBER('Registro Notas'!$D15:$R15))=0, "-", SUMPRODUCT(('Matriz Criterios'!$H$13:$V$13="X")*ISNUMBER('Registro Notas'!$D15:$R15)*'Registro Notas'!$D15:$R15)/SUMPRODUCT(('Matriz Criterios'!$H$13:$V$13="X")*ISNUMBER('Registro Notas'!$D15:$R15)))</f>
        <v/>
      </c>
      <c r="K15" s="39">
        <f>IF(SUMPRODUCT(('Matriz Criterios'!$H$14:$V$14="X")*ISNUMBER('Registro Notas'!$D15:$R15))=0, "-", SUMPRODUCT(('Matriz Criterios'!$H$14:$V$14="X")*ISNUMBER('Registro Notas'!$D15:$R15)*'Registro Notas'!$D15:$R15)/SUMPRODUCT(('Matriz Criterios'!$H$14:$V$14="X")*ISNUMBER('Registro Notas'!$D15:$R15)))</f>
        <v/>
      </c>
      <c r="L15" s="39">
        <f>IF(SUMPRODUCT(('Matriz Criterios'!$H$15:$V$15="X")*ISNUMBER('Registro Notas'!$D15:$R15))=0, "-", SUMPRODUCT(('Matriz Criterios'!$H$15:$V$15="X")*ISNUMBER('Registro Notas'!$D15:$R15)*'Registro Notas'!$D15:$R15)/SUMPRODUCT(('Matriz Criterios'!$H$15:$V$15="X")*ISNUMBER('Registro Notas'!$D15:$R15)))</f>
        <v/>
      </c>
      <c r="M15" s="39">
        <f>IF(SUMPRODUCT(('Matriz Criterios'!$H$16:$V$16="X")*ISNUMBER('Registro Notas'!$D15:$R15))=0, "-", SUMPRODUCT(('Matriz Criterios'!$H$16:$V$16="X")*ISNUMBER('Registro Notas'!$D15:$R15)*'Registro Notas'!$D15:$R15)/SUMPRODUCT(('Matriz Criterios'!$H$16:$V$16="X")*ISNUMBER('Registro Notas'!$D15:$R15)))</f>
        <v/>
      </c>
      <c r="N15" s="39">
        <f>IF(SUMPRODUCT(('Matriz Criterios'!$H$17:$V$17="X")*ISNUMBER('Registro Notas'!$D15:$R15))=0, "-", SUMPRODUCT(('Matriz Criterios'!$H$17:$V$17="X")*ISNUMBER('Registro Notas'!$D15:$R15)*'Registro Notas'!$D15:$R15)/SUMPRODUCT(('Matriz Criterios'!$H$17:$V$17="X")*ISNUMBER('Registro Notas'!$D15:$R15)))</f>
        <v/>
      </c>
      <c r="O15" s="39">
        <f>IF(SUMPRODUCT(('Matriz Criterios'!$H$18:$V$18="X")*ISNUMBER('Registro Notas'!$D15:$R15))=0, "-", SUMPRODUCT(('Matriz Criterios'!$H$18:$V$18="X")*ISNUMBER('Registro Notas'!$D15:$R15)*'Registro Notas'!$D15:$R15)/SUMPRODUCT(('Matriz Criterios'!$H$18:$V$18="X")*ISNUMBER('Registro Notas'!$D15:$R15)))</f>
        <v/>
      </c>
      <c r="P15" s="39">
        <f>IF(SUMPRODUCT(('Matriz Criterios'!$H$19:$V$19="X")*ISNUMBER('Registro Notas'!$D15:$R15))=0, "-", SUMPRODUCT(('Matriz Criterios'!$H$19:$V$19="X")*ISNUMBER('Registro Notas'!$D15:$R15)*'Registro Notas'!$D15:$R15)/SUMPRODUCT(('Matriz Criterios'!$H$19:$V$19="X")*ISNUMBER('Registro Notas'!$D15:$R15)))</f>
        <v/>
      </c>
      <c r="Q15" s="39">
        <f>IF(SUMPRODUCT(('Matriz Criterios'!$H$20:$V$20="X")*ISNUMBER('Registro Notas'!$D15:$R15))=0, "-", SUMPRODUCT(('Matriz Criterios'!$H$20:$V$20="X")*ISNUMBER('Registro Notas'!$D15:$R15)*'Registro Notas'!$D15:$R15)/SUMPRODUCT(('Matriz Criterios'!$H$20:$V$20="X")*ISNUMBER('Registro Notas'!$D15:$R15)))</f>
        <v/>
      </c>
      <c r="R15" s="39">
        <f>IF(SUMPRODUCT(('Matriz Criterios'!$H$21:$V$21="X")*ISNUMBER('Registro Notas'!$D15:$R15))=0, "-", SUMPRODUCT(('Matriz Criterios'!$H$21:$V$21="X")*ISNUMBER('Registro Notas'!$D15:$R15)*'Registro Notas'!$D15:$R15)/SUMPRODUCT(('Matriz Criterios'!$H$21:$V$21="X")*ISNUMBER('Registro Notas'!$D15:$R15)))</f>
        <v/>
      </c>
      <c r="S15" s="39">
        <f>IF(SUMPRODUCT(('Matriz Criterios'!$H$22:$V$22="X")*ISNUMBER('Registro Notas'!$D15:$R15))=0, "-", SUMPRODUCT(('Matriz Criterios'!$H$22:$V$22="X")*ISNUMBER('Registro Notas'!$D15:$R15)*'Registro Notas'!$D15:$R15)/SUMPRODUCT(('Matriz Criterios'!$H$22:$V$22="X")*ISNUMBER('Registro Notas'!$D15:$R15)))</f>
        <v/>
      </c>
      <c r="T15" s="39">
        <f>IF(SUMPRODUCT(('Matriz Criterios'!$H$23:$V$23="X")*ISNUMBER('Registro Notas'!$D15:$R15))=0, "-", SUMPRODUCT(('Matriz Criterios'!$H$23:$V$23="X")*ISNUMBER('Registro Notas'!$D15:$R15)*'Registro Notas'!$D15:$R15)/SUMPRODUCT(('Matriz Criterios'!$H$23:$V$23="X")*ISNUMBER('Registro Notas'!$D15:$R15)))</f>
        <v/>
      </c>
      <c r="U15" s="39">
        <f>IF(SUMPRODUCT(('Matriz Criterios'!$H$24:$V$24="X")*ISNUMBER('Registro Notas'!$D15:$R15))=0, "-", SUMPRODUCT(('Matriz Criterios'!$H$24:$V$24="X")*ISNUMBER('Registro Notas'!$D15:$R15)*'Registro Notas'!$D15:$R15)/SUMPRODUCT(('Matriz Criterios'!$H$24:$V$24="X")*ISNUMBER('Registro Notas'!$D15:$R15)))</f>
        <v/>
      </c>
      <c r="V15" s="39">
        <f>IF(SUMPRODUCT(('Matriz Criterios'!$H$25:$V$25="X")*ISNUMBER('Registro Notas'!$D15:$R15))=0, "-", SUMPRODUCT(('Matriz Criterios'!$H$25:$V$25="X")*ISNUMBER('Registro Notas'!$D15:$R15)*'Registro Notas'!$D15:$R15)/SUMPRODUCT(('Matriz Criterios'!$H$25:$V$25="X")*ISNUMBER('Registro Notas'!$D15:$R15)))</f>
        <v/>
      </c>
      <c r="W15" s="39">
        <f>IF(SUMPRODUCT(('Matriz Criterios'!$H$26:$V$26="X")*ISNUMBER('Registro Notas'!$D15:$R15))=0, "-", SUMPRODUCT(('Matriz Criterios'!$H$26:$V$26="X")*ISNUMBER('Registro Notas'!$D15:$R15)*'Registro Notas'!$D15:$R15)/SUMPRODUCT(('Matriz Criterios'!$H$26:$V$26="X")*ISNUMBER('Registro Notas'!$D15:$R15)))</f>
        <v/>
      </c>
      <c r="X15" s="39">
        <f>IF(SUMPRODUCT(('Matriz Criterios'!$H$27:$V$27="X")*ISNUMBER('Registro Notas'!$D15:$R15))=0, "-", SUMPRODUCT(('Matriz Criterios'!$H$27:$V$27="X")*ISNUMBER('Registro Notas'!$D15:$R15)*'Registro Notas'!$D15:$R15)/SUMPRODUCT(('Matriz Criterios'!$H$27:$V$27="X")*ISNUMBER('Registro Notas'!$D15:$R15)))</f>
        <v/>
      </c>
      <c r="Y15" s="39">
        <f>IF(SUMPRODUCT(('Matriz Criterios'!$H$28:$V$28="X")*ISNUMBER('Registro Notas'!$D15:$R15))=0, "-", SUMPRODUCT(('Matriz Criterios'!$H$28:$V$28="X")*ISNUMBER('Registro Notas'!$D15:$R15)*'Registro Notas'!$D15:$R15)/SUMPRODUCT(('Matriz Criterios'!$H$28:$V$28="X")*ISNUMBER('Registro Notas'!$D15:$R15)))</f>
        <v/>
      </c>
      <c r="Z15" s="39">
        <f>IF(SUMPRODUCT(('Matriz Criterios'!$H$29:$V$29="X")*ISNUMBER('Registro Notas'!$D15:$R15))=0, "-", SUMPRODUCT(('Matriz Criterios'!$H$29:$V$29="X")*ISNUMBER('Registro Notas'!$D15:$R15)*'Registro Notas'!$D15:$R15)/SUMPRODUCT(('Matriz Criterios'!$H$29:$V$29="X")*ISNUMBER('Registro Notas'!$D15:$R15)))</f>
        <v/>
      </c>
      <c r="AA15" s="39">
        <f>IF(SUMPRODUCT(('Matriz Criterios'!$H$30:$V$30="X")*ISNUMBER('Registro Notas'!$D15:$R15))=0, "-", SUMPRODUCT(('Matriz Criterios'!$H$30:$V$30="X")*ISNUMBER('Registro Notas'!$D15:$R15)*'Registro Notas'!$D15:$R15)/SUMPRODUCT(('Matriz Criterios'!$H$30:$V$30="X")*ISNUMBER('Registro Notas'!$D15:$R15)))</f>
        <v/>
      </c>
      <c r="AB15" s="39">
        <f>IF(SUMPRODUCT(('Matriz Criterios'!$H$31:$V$31="X")*ISNUMBER('Registro Notas'!$D15:$R15))=0, "-", SUMPRODUCT(('Matriz Criterios'!$H$31:$V$31="X")*ISNUMBER('Registro Notas'!$D15:$R15)*'Registro Notas'!$D15:$R15)/SUMPRODUCT(('Matriz Criterios'!$H$31:$V$31="X")*ISNUMBER('Registro Notas'!$D15:$R15)))</f>
        <v/>
      </c>
      <c r="AC15" s="39">
        <f>IF(SUMPRODUCT(('Matriz Criterios'!$H$32:$V$32="X")*ISNUMBER('Registro Notas'!$D15:$R15))=0, "-", SUMPRODUCT(('Matriz Criterios'!$H$32:$V$32="X")*ISNUMBER('Registro Notas'!$D15:$R15)*'Registro Notas'!$D15:$R15)/SUMPRODUCT(('Matriz Criterios'!$H$32:$V$32="X")*ISNUMBER('Registro Notas'!$D15:$R15)))</f>
        <v/>
      </c>
      <c r="AD15" s="39">
        <f>IF(SUMPRODUCT(('Matriz Criterios'!$H$33:$V$33="X")*ISNUMBER('Registro Notas'!$D15:$R15))=0, "-", SUMPRODUCT(('Matriz Criterios'!$H$33:$V$33="X")*ISNUMBER('Registro Notas'!$D15:$R15)*'Registro Notas'!$D15:$R15)/SUMPRODUCT(('Matriz Criterios'!$H$33:$V$33="X")*ISNUMBER('Registro Notas'!$D15:$R15)))</f>
        <v/>
      </c>
      <c r="AE15" s="39">
        <f>IF(SUMPRODUCT(('Matriz Criterios'!$H$34:$V$34="X")*ISNUMBER('Registro Notas'!$D15:$R15))=0, "-", SUMPRODUCT(('Matriz Criterios'!$H$34:$V$34="X")*ISNUMBER('Registro Notas'!$D15:$R15)*'Registro Notas'!$D15:$R15)/SUMPRODUCT(('Matriz Criterios'!$H$34:$V$34="X")*ISNUMBER('Registro Notas'!$D15:$R15)))</f>
        <v/>
      </c>
      <c r="AF15" s="39">
        <f>IF(SUMPRODUCT(('Matriz Criterios'!$H$35:$V$35="X")*ISNUMBER('Registro Notas'!$D15:$R15))=0, "-", SUMPRODUCT(('Matriz Criterios'!$H$35:$V$35="X")*ISNUMBER('Registro Notas'!$D15:$R15)*'Registro Notas'!$D15:$R15)/SUMPRODUCT(('Matriz Criterios'!$H$35:$V$35="X")*ISNUMBER('Registro Notas'!$D15:$R15)))</f>
        <v/>
      </c>
      <c r="AG15" s="39">
        <f>IF(SUMPRODUCT(('Matriz Criterios'!$H$36:$V$36="X")*ISNUMBER('Registro Notas'!$D15:$R15))=0, "-", SUMPRODUCT(('Matriz Criterios'!$H$36:$V$36="X")*ISNUMBER('Registro Notas'!$D15:$R15)*'Registro Notas'!$D15:$R15)/SUMPRODUCT(('Matriz Criterios'!$H$36:$V$36="X")*ISNUMBER('Registro Notas'!$D15:$R15)))</f>
        <v/>
      </c>
      <c r="AH15" s="39">
        <f>IF(SUMPRODUCT(('Matriz Criterios'!$H$37:$V$37="X")*ISNUMBER('Registro Notas'!$D15:$R15))=0, "-", SUMPRODUCT(('Matriz Criterios'!$H$37:$V$37="X")*ISNUMBER('Registro Notas'!$D15:$R15)*'Registro Notas'!$D15:$R15)/SUMPRODUCT(('Matriz Criterios'!$H$37:$V$37="X")*ISNUMBER('Registro Notas'!$D15:$R15)))</f>
        <v/>
      </c>
      <c r="AI15" s="39">
        <f>IF(SUMPRODUCT(('Matriz Criterios'!$H$38:$V$38="X")*ISNUMBER('Registro Notas'!$D15:$R15))=0, "-", SUMPRODUCT(('Matriz Criterios'!$H$38:$V$38="X")*ISNUMBER('Registro Notas'!$D15:$R15)*'Registro Notas'!$D15:$R15)/SUMPRODUCT(('Matriz Criterios'!$H$38:$V$38="X")*ISNUMBER('Registro Notas'!$D15:$R15)))</f>
        <v/>
      </c>
      <c r="AJ15" s="39">
        <f>IF(SUMPRODUCT(('Matriz Criterios'!$H$39:$V$39="X")*ISNUMBER('Registro Notas'!$D15:$R15))=0, "-", SUMPRODUCT(('Matriz Criterios'!$H$39:$V$39="X")*ISNUMBER('Registro Notas'!$D15:$R15)*'Registro Notas'!$D15:$R15)/SUMPRODUCT(('Matriz Criterios'!$H$39:$V$39="X")*ISNUMBER('Registro Notas'!$D15:$R15)))</f>
        <v/>
      </c>
      <c r="AK15" s="39">
        <f>IF(SUMPRODUCT(('Matriz Criterios'!$H$40:$V$40="X")*ISNUMBER('Registro Notas'!$D15:$R15))=0, "-", SUMPRODUCT(('Matriz Criterios'!$H$40:$V$40="X")*ISNUMBER('Registro Notas'!$D15:$R15)*'Registro Notas'!$D15:$R15)/SUMPRODUCT(('Matriz Criterios'!$H$40:$V$40="X")*ISNUMBER('Registro Notas'!$D15:$R15)))</f>
        <v/>
      </c>
      <c r="AL15" s="39">
        <f>IF(SUMPRODUCT(('Matriz Criterios'!$H$41:$V$41="X")*ISNUMBER('Registro Notas'!$D15:$R15))=0, "-", SUMPRODUCT(('Matriz Criterios'!$H$41:$V$41="X")*ISNUMBER('Registro Notas'!$D15:$R15)*'Registro Notas'!$D15:$R15)/SUMPRODUCT(('Matriz Criterios'!$H$41:$V$41="X")*ISNUMBER('Registro Notas'!$D15:$R15)))</f>
        <v/>
      </c>
      <c r="AM15" s="39">
        <f>IF(SUMPRODUCT(('Matriz Criterios'!$H$42:$V$42="X")*ISNUMBER('Registro Notas'!$D15:$R15))=0, "-", SUMPRODUCT(('Matriz Criterios'!$H$42:$V$42="X")*ISNUMBER('Registro Notas'!$D15:$R15)*'Registro Notas'!$D15:$R15)/SUMPRODUCT(('Matriz Criterios'!$H$42:$V$42="X")*ISNUMBER('Registro Notas'!$D15:$R15)))</f>
        <v/>
      </c>
      <c r="AN15" s="39">
        <f>IF(SUMPRODUCT(('Matriz Criterios'!$H$43:$V$43="X")*ISNUMBER('Registro Notas'!$D15:$R15))=0, "-", SUMPRODUCT(('Matriz Criterios'!$H$43:$V$43="X")*ISNUMBER('Registro Notas'!$D15:$R15)*'Registro Notas'!$D15:$R15)/SUMPRODUCT(('Matriz Criterios'!$H$43:$V$43="X")*ISNUMBER('Registro Notas'!$D15:$R15)))</f>
        <v/>
      </c>
      <c r="AO15" s="39">
        <f>IF(SUMPRODUCT(('Matriz Criterios'!$H$44:$V$44="X")*ISNUMBER('Registro Notas'!$D15:$R15))=0, "-", SUMPRODUCT(('Matriz Criterios'!$H$44:$V$44="X")*ISNUMBER('Registro Notas'!$D15:$R15)*'Registro Notas'!$D15:$R15)/SUMPRODUCT(('Matriz Criterios'!$H$44:$V$44="X")*ISNUMBER('Registro Notas'!$D15:$R15)))</f>
        <v/>
      </c>
      <c r="AP15" s="39">
        <f>IF(SUMPRODUCT(('Matriz Criterios'!$H$45:$V$45="X")*ISNUMBER('Registro Notas'!$D15:$R15))=0, "-", SUMPRODUCT(('Matriz Criterios'!$H$45:$V$45="X")*ISNUMBER('Registro Notas'!$D15:$R15)*'Registro Notas'!$D15:$R15)/SUMPRODUCT(('Matriz Criterios'!$H$45:$V$45="X")*ISNUMBER('Registro Notas'!$D15:$R15)))</f>
        <v/>
      </c>
      <c r="AQ15" s="49">
        <f>AVERAGE(C15:AP15)</f>
        <v/>
      </c>
      <c r="AR15" s="50">
        <f>COUNTIF(C15:AP15, "&gt;=5")</f>
        <v/>
      </c>
    </row>
    <row r="16" ht="20" customHeight="1">
      <c r="A16" s="13" t="n">
        <v>11</v>
      </c>
      <c r="B16" s="34" t="inlineStr">
        <is>
          <t>Navarro Gil, Ana</t>
        </is>
      </c>
      <c r="C16" s="35">
        <f>IF(SUMPRODUCT(('Matriz Criterios'!$H$6:$V$6="X")*ISNUMBER('Registro Notas'!$D16:$R16))=0, "-", SUMPRODUCT(('Matriz Criterios'!$H$6:$V$6="X")*ISNUMBER('Registro Notas'!$D16:$R16)*'Registro Notas'!$D16:$R16)/SUMPRODUCT(('Matriz Criterios'!$H$6:$V$6="X")*ISNUMBER('Registro Notas'!$D16:$R16)))</f>
        <v/>
      </c>
      <c r="D16" s="35">
        <f>IF(SUMPRODUCT(('Matriz Criterios'!$H$7:$V$7="X")*ISNUMBER('Registro Notas'!$D16:$R16))=0, "-", SUMPRODUCT(('Matriz Criterios'!$H$7:$V$7="X")*ISNUMBER('Registro Notas'!$D16:$R16)*'Registro Notas'!$D16:$R16)/SUMPRODUCT(('Matriz Criterios'!$H$7:$V$7="X")*ISNUMBER('Registro Notas'!$D16:$R16)))</f>
        <v/>
      </c>
      <c r="E16" s="35">
        <f>IF(SUMPRODUCT(('Matriz Criterios'!$H$8:$V$8="X")*ISNUMBER('Registro Notas'!$D16:$R16))=0, "-", SUMPRODUCT(('Matriz Criterios'!$H$8:$V$8="X")*ISNUMBER('Registro Notas'!$D16:$R16)*'Registro Notas'!$D16:$R16)/SUMPRODUCT(('Matriz Criterios'!$H$8:$V$8="X")*ISNUMBER('Registro Notas'!$D16:$R16)))</f>
        <v/>
      </c>
      <c r="F16" s="35">
        <f>IF(SUMPRODUCT(('Matriz Criterios'!$H$9:$V$9="X")*ISNUMBER('Registro Notas'!$D16:$R16))=0, "-", SUMPRODUCT(('Matriz Criterios'!$H$9:$V$9="X")*ISNUMBER('Registro Notas'!$D16:$R16)*'Registro Notas'!$D16:$R16)/SUMPRODUCT(('Matriz Criterios'!$H$9:$V$9="X")*ISNUMBER('Registro Notas'!$D16:$R16)))</f>
        <v/>
      </c>
      <c r="G16" s="35">
        <f>IF(SUMPRODUCT(('Matriz Criterios'!$H$10:$V$10="X")*ISNUMBER('Registro Notas'!$D16:$R16))=0, "-", SUMPRODUCT(('Matriz Criterios'!$H$10:$V$10="X")*ISNUMBER('Registro Notas'!$D16:$R16)*'Registro Notas'!$D16:$R16)/SUMPRODUCT(('Matriz Criterios'!$H$10:$V$10="X")*ISNUMBER('Registro Notas'!$D16:$R16)))</f>
        <v/>
      </c>
      <c r="H16" s="35">
        <f>IF(SUMPRODUCT(('Matriz Criterios'!$H$11:$V$11="X")*ISNUMBER('Registro Notas'!$D16:$R16))=0, "-", SUMPRODUCT(('Matriz Criterios'!$H$11:$V$11="X")*ISNUMBER('Registro Notas'!$D16:$R16)*'Registro Notas'!$D16:$R16)/SUMPRODUCT(('Matriz Criterios'!$H$11:$V$11="X")*ISNUMBER('Registro Notas'!$D16:$R16)))</f>
        <v/>
      </c>
      <c r="I16" s="35">
        <f>IF(SUMPRODUCT(('Matriz Criterios'!$H$12:$V$12="X")*ISNUMBER('Registro Notas'!$D16:$R16))=0, "-", SUMPRODUCT(('Matriz Criterios'!$H$12:$V$12="X")*ISNUMBER('Registro Notas'!$D16:$R16)*'Registro Notas'!$D16:$R16)/SUMPRODUCT(('Matriz Criterios'!$H$12:$V$12="X")*ISNUMBER('Registro Notas'!$D16:$R16)))</f>
        <v/>
      </c>
      <c r="J16" s="35">
        <f>IF(SUMPRODUCT(('Matriz Criterios'!$H$13:$V$13="X")*ISNUMBER('Registro Notas'!$D16:$R16))=0, "-", SUMPRODUCT(('Matriz Criterios'!$H$13:$V$13="X")*ISNUMBER('Registro Notas'!$D16:$R16)*'Registro Notas'!$D16:$R16)/SUMPRODUCT(('Matriz Criterios'!$H$13:$V$13="X")*ISNUMBER('Registro Notas'!$D16:$R16)))</f>
        <v/>
      </c>
      <c r="K16" s="35">
        <f>IF(SUMPRODUCT(('Matriz Criterios'!$H$14:$V$14="X")*ISNUMBER('Registro Notas'!$D16:$R16))=0, "-", SUMPRODUCT(('Matriz Criterios'!$H$14:$V$14="X")*ISNUMBER('Registro Notas'!$D16:$R16)*'Registro Notas'!$D16:$R16)/SUMPRODUCT(('Matriz Criterios'!$H$14:$V$14="X")*ISNUMBER('Registro Notas'!$D16:$R16)))</f>
        <v/>
      </c>
      <c r="L16" s="35">
        <f>IF(SUMPRODUCT(('Matriz Criterios'!$H$15:$V$15="X")*ISNUMBER('Registro Notas'!$D16:$R16))=0, "-", SUMPRODUCT(('Matriz Criterios'!$H$15:$V$15="X")*ISNUMBER('Registro Notas'!$D16:$R16)*'Registro Notas'!$D16:$R16)/SUMPRODUCT(('Matriz Criterios'!$H$15:$V$15="X")*ISNUMBER('Registro Notas'!$D16:$R16)))</f>
        <v/>
      </c>
      <c r="M16" s="35">
        <f>IF(SUMPRODUCT(('Matriz Criterios'!$H$16:$V$16="X")*ISNUMBER('Registro Notas'!$D16:$R16))=0, "-", SUMPRODUCT(('Matriz Criterios'!$H$16:$V$16="X")*ISNUMBER('Registro Notas'!$D16:$R16)*'Registro Notas'!$D16:$R16)/SUMPRODUCT(('Matriz Criterios'!$H$16:$V$16="X")*ISNUMBER('Registro Notas'!$D16:$R16)))</f>
        <v/>
      </c>
      <c r="N16" s="35">
        <f>IF(SUMPRODUCT(('Matriz Criterios'!$H$17:$V$17="X")*ISNUMBER('Registro Notas'!$D16:$R16))=0, "-", SUMPRODUCT(('Matriz Criterios'!$H$17:$V$17="X")*ISNUMBER('Registro Notas'!$D16:$R16)*'Registro Notas'!$D16:$R16)/SUMPRODUCT(('Matriz Criterios'!$H$17:$V$17="X")*ISNUMBER('Registro Notas'!$D16:$R16)))</f>
        <v/>
      </c>
      <c r="O16" s="35">
        <f>IF(SUMPRODUCT(('Matriz Criterios'!$H$18:$V$18="X")*ISNUMBER('Registro Notas'!$D16:$R16))=0, "-", SUMPRODUCT(('Matriz Criterios'!$H$18:$V$18="X")*ISNUMBER('Registro Notas'!$D16:$R16)*'Registro Notas'!$D16:$R16)/SUMPRODUCT(('Matriz Criterios'!$H$18:$V$18="X")*ISNUMBER('Registro Notas'!$D16:$R16)))</f>
        <v/>
      </c>
      <c r="P16" s="35">
        <f>IF(SUMPRODUCT(('Matriz Criterios'!$H$19:$V$19="X")*ISNUMBER('Registro Notas'!$D16:$R16))=0, "-", SUMPRODUCT(('Matriz Criterios'!$H$19:$V$19="X")*ISNUMBER('Registro Notas'!$D16:$R16)*'Registro Notas'!$D16:$R16)/SUMPRODUCT(('Matriz Criterios'!$H$19:$V$19="X")*ISNUMBER('Registro Notas'!$D16:$R16)))</f>
        <v/>
      </c>
      <c r="Q16" s="35">
        <f>IF(SUMPRODUCT(('Matriz Criterios'!$H$20:$V$20="X")*ISNUMBER('Registro Notas'!$D16:$R16))=0, "-", SUMPRODUCT(('Matriz Criterios'!$H$20:$V$20="X")*ISNUMBER('Registro Notas'!$D16:$R16)*'Registro Notas'!$D16:$R16)/SUMPRODUCT(('Matriz Criterios'!$H$20:$V$20="X")*ISNUMBER('Registro Notas'!$D16:$R16)))</f>
        <v/>
      </c>
      <c r="R16" s="35">
        <f>IF(SUMPRODUCT(('Matriz Criterios'!$H$21:$V$21="X")*ISNUMBER('Registro Notas'!$D16:$R16))=0, "-", SUMPRODUCT(('Matriz Criterios'!$H$21:$V$21="X")*ISNUMBER('Registro Notas'!$D16:$R16)*'Registro Notas'!$D16:$R16)/SUMPRODUCT(('Matriz Criterios'!$H$21:$V$21="X")*ISNUMBER('Registro Notas'!$D16:$R16)))</f>
        <v/>
      </c>
      <c r="S16" s="35">
        <f>IF(SUMPRODUCT(('Matriz Criterios'!$H$22:$V$22="X")*ISNUMBER('Registro Notas'!$D16:$R16))=0, "-", SUMPRODUCT(('Matriz Criterios'!$H$22:$V$22="X")*ISNUMBER('Registro Notas'!$D16:$R16)*'Registro Notas'!$D16:$R16)/SUMPRODUCT(('Matriz Criterios'!$H$22:$V$22="X")*ISNUMBER('Registro Notas'!$D16:$R16)))</f>
        <v/>
      </c>
      <c r="T16" s="35">
        <f>IF(SUMPRODUCT(('Matriz Criterios'!$H$23:$V$23="X")*ISNUMBER('Registro Notas'!$D16:$R16))=0, "-", SUMPRODUCT(('Matriz Criterios'!$H$23:$V$23="X")*ISNUMBER('Registro Notas'!$D16:$R16)*'Registro Notas'!$D16:$R16)/SUMPRODUCT(('Matriz Criterios'!$H$23:$V$23="X")*ISNUMBER('Registro Notas'!$D16:$R16)))</f>
        <v/>
      </c>
      <c r="U16" s="35">
        <f>IF(SUMPRODUCT(('Matriz Criterios'!$H$24:$V$24="X")*ISNUMBER('Registro Notas'!$D16:$R16))=0, "-", SUMPRODUCT(('Matriz Criterios'!$H$24:$V$24="X")*ISNUMBER('Registro Notas'!$D16:$R16)*'Registro Notas'!$D16:$R16)/SUMPRODUCT(('Matriz Criterios'!$H$24:$V$24="X")*ISNUMBER('Registro Notas'!$D16:$R16)))</f>
        <v/>
      </c>
      <c r="V16" s="35">
        <f>IF(SUMPRODUCT(('Matriz Criterios'!$H$25:$V$25="X")*ISNUMBER('Registro Notas'!$D16:$R16))=0, "-", SUMPRODUCT(('Matriz Criterios'!$H$25:$V$25="X")*ISNUMBER('Registro Notas'!$D16:$R16)*'Registro Notas'!$D16:$R16)/SUMPRODUCT(('Matriz Criterios'!$H$25:$V$25="X")*ISNUMBER('Registro Notas'!$D16:$R16)))</f>
        <v/>
      </c>
      <c r="W16" s="35">
        <f>IF(SUMPRODUCT(('Matriz Criterios'!$H$26:$V$26="X")*ISNUMBER('Registro Notas'!$D16:$R16))=0, "-", SUMPRODUCT(('Matriz Criterios'!$H$26:$V$26="X")*ISNUMBER('Registro Notas'!$D16:$R16)*'Registro Notas'!$D16:$R16)/SUMPRODUCT(('Matriz Criterios'!$H$26:$V$26="X")*ISNUMBER('Registro Notas'!$D16:$R16)))</f>
        <v/>
      </c>
      <c r="X16" s="35">
        <f>IF(SUMPRODUCT(('Matriz Criterios'!$H$27:$V$27="X")*ISNUMBER('Registro Notas'!$D16:$R16))=0, "-", SUMPRODUCT(('Matriz Criterios'!$H$27:$V$27="X")*ISNUMBER('Registro Notas'!$D16:$R16)*'Registro Notas'!$D16:$R16)/SUMPRODUCT(('Matriz Criterios'!$H$27:$V$27="X")*ISNUMBER('Registro Notas'!$D16:$R16)))</f>
        <v/>
      </c>
      <c r="Y16" s="35">
        <f>IF(SUMPRODUCT(('Matriz Criterios'!$H$28:$V$28="X")*ISNUMBER('Registro Notas'!$D16:$R16))=0, "-", SUMPRODUCT(('Matriz Criterios'!$H$28:$V$28="X")*ISNUMBER('Registro Notas'!$D16:$R16)*'Registro Notas'!$D16:$R16)/SUMPRODUCT(('Matriz Criterios'!$H$28:$V$28="X")*ISNUMBER('Registro Notas'!$D16:$R16)))</f>
        <v/>
      </c>
      <c r="Z16" s="35">
        <f>IF(SUMPRODUCT(('Matriz Criterios'!$H$29:$V$29="X")*ISNUMBER('Registro Notas'!$D16:$R16))=0, "-", SUMPRODUCT(('Matriz Criterios'!$H$29:$V$29="X")*ISNUMBER('Registro Notas'!$D16:$R16)*'Registro Notas'!$D16:$R16)/SUMPRODUCT(('Matriz Criterios'!$H$29:$V$29="X")*ISNUMBER('Registro Notas'!$D16:$R16)))</f>
        <v/>
      </c>
      <c r="AA16" s="35">
        <f>IF(SUMPRODUCT(('Matriz Criterios'!$H$30:$V$30="X")*ISNUMBER('Registro Notas'!$D16:$R16))=0, "-", SUMPRODUCT(('Matriz Criterios'!$H$30:$V$30="X")*ISNUMBER('Registro Notas'!$D16:$R16)*'Registro Notas'!$D16:$R16)/SUMPRODUCT(('Matriz Criterios'!$H$30:$V$30="X")*ISNUMBER('Registro Notas'!$D16:$R16)))</f>
        <v/>
      </c>
      <c r="AB16" s="35">
        <f>IF(SUMPRODUCT(('Matriz Criterios'!$H$31:$V$31="X")*ISNUMBER('Registro Notas'!$D16:$R16))=0, "-", SUMPRODUCT(('Matriz Criterios'!$H$31:$V$31="X")*ISNUMBER('Registro Notas'!$D16:$R16)*'Registro Notas'!$D16:$R16)/SUMPRODUCT(('Matriz Criterios'!$H$31:$V$31="X")*ISNUMBER('Registro Notas'!$D16:$R16)))</f>
        <v/>
      </c>
      <c r="AC16" s="35">
        <f>IF(SUMPRODUCT(('Matriz Criterios'!$H$32:$V$32="X")*ISNUMBER('Registro Notas'!$D16:$R16))=0, "-", SUMPRODUCT(('Matriz Criterios'!$H$32:$V$32="X")*ISNUMBER('Registro Notas'!$D16:$R16)*'Registro Notas'!$D16:$R16)/SUMPRODUCT(('Matriz Criterios'!$H$32:$V$32="X")*ISNUMBER('Registro Notas'!$D16:$R16)))</f>
        <v/>
      </c>
      <c r="AD16" s="35">
        <f>IF(SUMPRODUCT(('Matriz Criterios'!$H$33:$V$33="X")*ISNUMBER('Registro Notas'!$D16:$R16))=0, "-", SUMPRODUCT(('Matriz Criterios'!$H$33:$V$33="X")*ISNUMBER('Registro Notas'!$D16:$R16)*'Registro Notas'!$D16:$R16)/SUMPRODUCT(('Matriz Criterios'!$H$33:$V$33="X")*ISNUMBER('Registro Notas'!$D16:$R16)))</f>
        <v/>
      </c>
      <c r="AE16" s="35">
        <f>IF(SUMPRODUCT(('Matriz Criterios'!$H$34:$V$34="X")*ISNUMBER('Registro Notas'!$D16:$R16))=0, "-", SUMPRODUCT(('Matriz Criterios'!$H$34:$V$34="X")*ISNUMBER('Registro Notas'!$D16:$R16)*'Registro Notas'!$D16:$R16)/SUMPRODUCT(('Matriz Criterios'!$H$34:$V$34="X")*ISNUMBER('Registro Notas'!$D16:$R16)))</f>
        <v/>
      </c>
      <c r="AF16" s="35">
        <f>IF(SUMPRODUCT(('Matriz Criterios'!$H$35:$V$35="X")*ISNUMBER('Registro Notas'!$D16:$R16))=0, "-", SUMPRODUCT(('Matriz Criterios'!$H$35:$V$35="X")*ISNUMBER('Registro Notas'!$D16:$R16)*'Registro Notas'!$D16:$R16)/SUMPRODUCT(('Matriz Criterios'!$H$35:$V$35="X")*ISNUMBER('Registro Notas'!$D16:$R16)))</f>
        <v/>
      </c>
      <c r="AG16" s="35">
        <f>IF(SUMPRODUCT(('Matriz Criterios'!$H$36:$V$36="X")*ISNUMBER('Registro Notas'!$D16:$R16))=0, "-", SUMPRODUCT(('Matriz Criterios'!$H$36:$V$36="X")*ISNUMBER('Registro Notas'!$D16:$R16)*'Registro Notas'!$D16:$R16)/SUMPRODUCT(('Matriz Criterios'!$H$36:$V$36="X")*ISNUMBER('Registro Notas'!$D16:$R16)))</f>
        <v/>
      </c>
      <c r="AH16" s="35">
        <f>IF(SUMPRODUCT(('Matriz Criterios'!$H$37:$V$37="X")*ISNUMBER('Registro Notas'!$D16:$R16))=0, "-", SUMPRODUCT(('Matriz Criterios'!$H$37:$V$37="X")*ISNUMBER('Registro Notas'!$D16:$R16)*'Registro Notas'!$D16:$R16)/SUMPRODUCT(('Matriz Criterios'!$H$37:$V$37="X")*ISNUMBER('Registro Notas'!$D16:$R16)))</f>
        <v/>
      </c>
      <c r="AI16" s="35">
        <f>IF(SUMPRODUCT(('Matriz Criterios'!$H$38:$V$38="X")*ISNUMBER('Registro Notas'!$D16:$R16))=0, "-", SUMPRODUCT(('Matriz Criterios'!$H$38:$V$38="X")*ISNUMBER('Registro Notas'!$D16:$R16)*'Registro Notas'!$D16:$R16)/SUMPRODUCT(('Matriz Criterios'!$H$38:$V$38="X")*ISNUMBER('Registro Notas'!$D16:$R16)))</f>
        <v/>
      </c>
      <c r="AJ16" s="35">
        <f>IF(SUMPRODUCT(('Matriz Criterios'!$H$39:$V$39="X")*ISNUMBER('Registro Notas'!$D16:$R16))=0, "-", SUMPRODUCT(('Matriz Criterios'!$H$39:$V$39="X")*ISNUMBER('Registro Notas'!$D16:$R16)*'Registro Notas'!$D16:$R16)/SUMPRODUCT(('Matriz Criterios'!$H$39:$V$39="X")*ISNUMBER('Registro Notas'!$D16:$R16)))</f>
        <v/>
      </c>
      <c r="AK16" s="35">
        <f>IF(SUMPRODUCT(('Matriz Criterios'!$H$40:$V$40="X")*ISNUMBER('Registro Notas'!$D16:$R16))=0, "-", SUMPRODUCT(('Matriz Criterios'!$H$40:$V$40="X")*ISNUMBER('Registro Notas'!$D16:$R16)*'Registro Notas'!$D16:$R16)/SUMPRODUCT(('Matriz Criterios'!$H$40:$V$40="X")*ISNUMBER('Registro Notas'!$D16:$R16)))</f>
        <v/>
      </c>
      <c r="AL16" s="35">
        <f>IF(SUMPRODUCT(('Matriz Criterios'!$H$41:$V$41="X")*ISNUMBER('Registro Notas'!$D16:$R16))=0, "-", SUMPRODUCT(('Matriz Criterios'!$H$41:$V$41="X")*ISNUMBER('Registro Notas'!$D16:$R16)*'Registro Notas'!$D16:$R16)/SUMPRODUCT(('Matriz Criterios'!$H$41:$V$41="X")*ISNUMBER('Registro Notas'!$D16:$R16)))</f>
        <v/>
      </c>
      <c r="AM16" s="35">
        <f>IF(SUMPRODUCT(('Matriz Criterios'!$H$42:$V$42="X")*ISNUMBER('Registro Notas'!$D16:$R16))=0, "-", SUMPRODUCT(('Matriz Criterios'!$H$42:$V$42="X")*ISNUMBER('Registro Notas'!$D16:$R16)*'Registro Notas'!$D16:$R16)/SUMPRODUCT(('Matriz Criterios'!$H$42:$V$42="X")*ISNUMBER('Registro Notas'!$D16:$R16)))</f>
        <v/>
      </c>
      <c r="AN16" s="35">
        <f>IF(SUMPRODUCT(('Matriz Criterios'!$H$43:$V$43="X")*ISNUMBER('Registro Notas'!$D16:$R16))=0, "-", SUMPRODUCT(('Matriz Criterios'!$H$43:$V$43="X")*ISNUMBER('Registro Notas'!$D16:$R16)*'Registro Notas'!$D16:$R16)/SUMPRODUCT(('Matriz Criterios'!$H$43:$V$43="X")*ISNUMBER('Registro Notas'!$D16:$R16)))</f>
        <v/>
      </c>
      <c r="AO16" s="35">
        <f>IF(SUMPRODUCT(('Matriz Criterios'!$H$44:$V$44="X")*ISNUMBER('Registro Notas'!$D16:$R16))=0, "-", SUMPRODUCT(('Matriz Criterios'!$H$44:$V$44="X")*ISNUMBER('Registro Notas'!$D16:$R16)*'Registro Notas'!$D16:$R16)/SUMPRODUCT(('Matriz Criterios'!$H$44:$V$44="X")*ISNUMBER('Registro Notas'!$D16:$R16)))</f>
        <v/>
      </c>
      <c r="AP16" s="35">
        <f>IF(SUMPRODUCT(('Matriz Criterios'!$H$45:$V$45="X")*ISNUMBER('Registro Notas'!$D16:$R16))=0, "-", SUMPRODUCT(('Matriz Criterios'!$H$45:$V$45="X")*ISNUMBER('Registro Notas'!$D16:$R16)*'Registro Notas'!$D16:$R16)/SUMPRODUCT(('Matriz Criterios'!$H$45:$V$45="X")*ISNUMBER('Registro Notas'!$D16:$R16)))</f>
        <v/>
      </c>
      <c r="AQ16" s="49">
        <f>AVERAGE(C16:AP16)</f>
        <v/>
      </c>
      <c r="AR16" s="50">
        <f>COUNTIF(C16:AP16, "&gt;=5")</f>
        <v/>
      </c>
    </row>
    <row r="17" ht="20" customHeight="1">
      <c r="A17" s="21" t="n">
        <v>12</v>
      </c>
      <c r="B17" s="38" t="inlineStr">
        <is>
          <t>Pérez Rubio, Álvaro</t>
        </is>
      </c>
      <c r="C17" s="39">
        <f>IF(SUMPRODUCT(('Matriz Criterios'!$H$6:$V$6="X")*ISNUMBER('Registro Notas'!$D17:$R17))=0, "-", SUMPRODUCT(('Matriz Criterios'!$H$6:$V$6="X")*ISNUMBER('Registro Notas'!$D17:$R17)*'Registro Notas'!$D17:$R17)/SUMPRODUCT(('Matriz Criterios'!$H$6:$V$6="X")*ISNUMBER('Registro Notas'!$D17:$R17)))</f>
        <v/>
      </c>
      <c r="D17" s="39">
        <f>IF(SUMPRODUCT(('Matriz Criterios'!$H$7:$V$7="X")*ISNUMBER('Registro Notas'!$D17:$R17))=0, "-", SUMPRODUCT(('Matriz Criterios'!$H$7:$V$7="X")*ISNUMBER('Registro Notas'!$D17:$R17)*'Registro Notas'!$D17:$R17)/SUMPRODUCT(('Matriz Criterios'!$H$7:$V$7="X")*ISNUMBER('Registro Notas'!$D17:$R17)))</f>
        <v/>
      </c>
      <c r="E17" s="39">
        <f>IF(SUMPRODUCT(('Matriz Criterios'!$H$8:$V$8="X")*ISNUMBER('Registro Notas'!$D17:$R17))=0, "-", SUMPRODUCT(('Matriz Criterios'!$H$8:$V$8="X")*ISNUMBER('Registro Notas'!$D17:$R17)*'Registro Notas'!$D17:$R17)/SUMPRODUCT(('Matriz Criterios'!$H$8:$V$8="X")*ISNUMBER('Registro Notas'!$D17:$R17)))</f>
        <v/>
      </c>
      <c r="F17" s="39">
        <f>IF(SUMPRODUCT(('Matriz Criterios'!$H$9:$V$9="X")*ISNUMBER('Registro Notas'!$D17:$R17))=0, "-", SUMPRODUCT(('Matriz Criterios'!$H$9:$V$9="X")*ISNUMBER('Registro Notas'!$D17:$R17)*'Registro Notas'!$D17:$R17)/SUMPRODUCT(('Matriz Criterios'!$H$9:$V$9="X")*ISNUMBER('Registro Notas'!$D17:$R17)))</f>
        <v/>
      </c>
      <c r="G17" s="39">
        <f>IF(SUMPRODUCT(('Matriz Criterios'!$H$10:$V$10="X")*ISNUMBER('Registro Notas'!$D17:$R17))=0, "-", SUMPRODUCT(('Matriz Criterios'!$H$10:$V$10="X")*ISNUMBER('Registro Notas'!$D17:$R17)*'Registro Notas'!$D17:$R17)/SUMPRODUCT(('Matriz Criterios'!$H$10:$V$10="X")*ISNUMBER('Registro Notas'!$D17:$R17)))</f>
        <v/>
      </c>
      <c r="H17" s="39">
        <f>IF(SUMPRODUCT(('Matriz Criterios'!$H$11:$V$11="X")*ISNUMBER('Registro Notas'!$D17:$R17))=0, "-", SUMPRODUCT(('Matriz Criterios'!$H$11:$V$11="X")*ISNUMBER('Registro Notas'!$D17:$R17)*'Registro Notas'!$D17:$R17)/SUMPRODUCT(('Matriz Criterios'!$H$11:$V$11="X")*ISNUMBER('Registro Notas'!$D17:$R17)))</f>
        <v/>
      </c>
      <c r="I17" s="39">
        <f>IF(SUMPRODUCT(('Matriz Criterios'!$H$12:$V$12="X")*ISNUMBER('Registro Notas'!$D17:$R17))=0, "-", SUMPRODUCT(('Matriz Criterios'!$H$12:$V$12="X")*ISNUMBER('Registro Notas'!$D17:$R17)*'Registro Notas'!$D17:$R17)/SUMPRODUCT(('Matriz Criterios'!$H$12:$V$12="X")*ISNUMBER('Registro Notas'!$D17:$R17)))</f>
        <v/>
      </c>
      <c r="J17" s="39">
        <f>IF(SUMPRODUCT(('Matriz Criterios'!$H$13:$V$13="X")*ISNUMBER('Registro Notas'!$D17:$R17))=0, "-", SUMPRODUCT(('Matriz Criterios'!$H$13:$V$13="X")*ISNUMBER('Registro Notas'!$D17:$R17)*'Registro Notas'!$D17:$R17)/SUMPRODUCT(('Matriz Criterios'!$H$13:$V$13="X")*ISNUMBER('Registro Notas'!$D17:$R17)))</f>
        <v/>
      </c>
      <c r="K17" s="39">
        <f>IF(SUMPRODUCT(('Matriz Criterios'!$H$14:$V$14="X")*ISNUMBER('Registro Notas'!$D17:$R17))=0, "-", SUMPRODUCT(('Matriz Criterios'!$H$14:$V$14="X")*ISNUMBER('Registro Notas'!$D17:$R17)*'Registro Notas'!$D17:$R17)/SUMPRODUCT(('Matriz Criterios'!$H$14:$V$14="X")*ISNUMBER('Registro Notas'!$D17:$R17)))</f>
        <v/>
      </c>
      <c r="L17" s="39">
        <f>IF(SUMPRODUCT(('Matriz Criterios'!$H$15:$V$15="X")*ISNUMBER('Registro Notas'!$D17:$R17))=0, "-", SUMPRODUCT(('Matriz Criterios'!$H$15:$V$15="X")*ISNUMBER('Registro Notas'!$D17:$R17)*'Registro Notas'!$D17:$R17)/SUMPRODUCT(('Matriz Criterios'!$H$15:$V$15="X")*ISNUMBER('Registro Notas'!$D17:$R17)))</f>
        <v/>
      </c>
      <c r="M17" s="39">
        <f>IF(SUMPRODUCT(('Matriz Criterios'!$H$16:$V$16="X")*ISNUMBER('Registro Notas'!$D17:$R17))=0, "-", SUMPRODUCT(('Matriz Criterios'!$H$16:$V$16="X")*ISNUMBER('Registro Notas'!$D17:$R17)*'Registro Notas'!$D17:$R17)/SUMPRODUCT(('Matriz Criterios'!$H$16:$V$16="X")*ISNUMBER('Registro Notas'!$D17:$R17)))</f>
        <v/>
      </c>
      <c r="N17" s="39">
        <f>IF(SUMPRODUCT(('Matriz Criterios'!$H$17:$V$17="X")*ISNUMBER('Registro Notas'!$D17:$R17))=0, "-", SUMPRODUCT(('Matriz Criterios'!$H$17:$V$17="X")*ISNUMBER('Registro Notas'!$D17:$R17)*'Registro Notas'!$D17:$R17)/SUMPRODUCT(('Matriz Criterios'!$H$17:$V$17="X")*ISNUMBER('Registro Notas'!$D17:$R17)))</f>
        <v/>
      </c>
      <c r="O17" s="39">
        <f>IF(SUMPRODUCT(('Matriz Criterios'!$H$18:$V$18="X")*ISNUMBER('Registro Notas'!$D17:$R17))=0, "-", SUMPRODUCT(('Matriz Criterios'!$H$18:$V$18="X")*ISNUMBER('Registro Notas'!$D17:$R17)*'Registro Notas'!$D17:$R17)/SUMPRODUCT(('Matriz Criterios'!$H$18:$V$18="X")*ISNUMBER('Registro Notas'!$D17:$R17)))</f>
        <v/>
      </c>
      <c r="P17" s="39">
        <f>IF(SUMPRODUCT(('Matriz Criterios'!$H$19:$V$19="X")*ISNUMBER('Registro Notas'!$D17:$R17))=0, "-", SUMPRODUCT(('Matriz Criterios'!$H$19:$V$19="X")*ISNUMBER('Registro Notas'!$D17:$R17)*'Registro Notas'!$D17:$R17)/SUMPRODUCT(('Matriz Criterios'!$H$19:$V$19="X")*ISNUMBER('Registro Notas'!$D17:$R17)))</f>
        <v/>
      </c>
      <c r="Q17" s="39">
        <f>IF(SUMPRODUCT(('Matriz Criterios'!$H$20:$V$20="X")*ISNUMBER('Registro Notas'!$D17:$R17))=0, "-", SUMPRODUCT(('Matriz Criterios'!$H$20:$V$20="X")*ISNUMBER('Registro Notas'!$D17:$R17)*'Registro Notas'!$D17:$R17)/SUMPRODUCT(('Matriz Criterios'!$H$20:$V$20="X")*ISNUMBER('Registro Notas'!$D17:$R17)))</f>
        <v/>
      </c>
      <c r="R17" s="39">
        <f>IF(SUMPRODUCT(('Matriz Criterios'!$H$21:$V$21="X")*ISNUMBER('Registro Notas'!$D17:$R17))=0, "-", SUMPRODUCT(('Matriz Criterios'!$H$21:$V$21="X")*ISNUMBER('Registro Notas'!$D17:$R17)*'Registro Notas'!$D17:$R17)/SUMPRODUCT(('Matriz Criterios'!$H$21:$V$21="X")*ISNUMBER('Registro Notas'!$D17:$R17)))</f>
        <v/>
      </c>
      <c r="S17" s="39">
        <f>IF(SUMPRODUCT(('Matriz Criterios'!$H$22:$V$22="X")*ISNUMBER('Registro Notas'!$D17:$R17))=0, "-", SUMPRODUCT(('Matriz Criterios'!$H$22:$V$22="X")*ISNUMBER('Registro Notas'!$D17:$R17)*'Registro Notas'!$D17:$R17)/SUMPRODUCT(('Matriz Criterios'!$H$22:$V$22="X")*ISNUMBER('Registro Notas'!$D17:$R17)))</f>
        <v/>
      </c>
      <c r="T17" s="39">
        <f>IF(SUMPRODUCT(('Matriz Criterios'!$H$23:$V$23="X")*ISNUMBER('Registro Notas'!$D17:$R17))=0, "-", SUMPRODUCT(('Matriz Criterios'!$H$23:$V$23="X")*ISNUMBER('Registro Notas'!$D17:$R17)*'Registro Notas'!$D17:$R17)/SUMPRODUCT(('Matriz Criterios'!$H$23:$V$23="X")*ISNUMBER('Registro Notas'!$D17:$R17)))</f>
        <v/>
      </c>
      <c r="U17" s="39">
        <f>IF(SUMPRODUCT(('Matriz Criterios'!$H$24:$V$24="X")*ISNUMBER('Registro Notas'!$D17:$R17))=0, "-", SUMPRODUCT(('Matriz Criterios'!$H$24:$V$24="X")*ISNUMBER('Registro Notas'!$D17:$R17)*'Registro Notas'!$D17:$R17)/SUMPRODUCT(('Matriz Criterios'!$H$24:$V$24="X")*ISNUMBER('Registro Notas'!$D17:$R17)))</f>
        <v/>
      </c>
      <c r="V17" s="39">
        <f>IF(SUMPRODUCT(('Matriz Criterios'!$H$25:$V$25="X")*ISNUMBER('Registro Notas'!$D17:$R17))=0, "-", SUMPRODUCT(('Matriz Criterios'!$H$25:$V$25="X")*ISNUMBER('Registro Notas'!$D17:$R17)*'Registro Notas'!$D17:$R17)/SUMPRODUCT(('Matriz Criterios'!$H$25:$V$25="X")*ISNUMBER('Registro Notas'!$D17:$R17)))</f>
        <v/>
      </c>
      <c r="W17" s="39">
        <f>IF(SUMPRODUCT(('Matriz Criterios'!$H$26:$V$26="X")*ISNUMBER('Registro Notas'!$D17:$R17))=0, "-", SUMPRODUCT(('Matriz Criterios'!$H$26:$V$26="X")*ISNUMBER('Registro Notas'!$D17:$R17)*'Registro Notas'!$D17:$R17)/SUMPRODUCT(('Matriz Criterios'!$H$26:$V$26="X")*ISNUMBER('Registro Notas'!$D17:$R17)))</f>
        <v/>
      </c>
      <c r="X17" s="39">
        <f>IF(SUMPRODUCT(('Matriz Criterios'!$H$27:$V$27="X")*ISNUMBER('Registro Notas'!$D17:$R17))=0, "-", SUMPRODUCT(('Matriz Criterios'!$H$27:$V$27="X")*ISNUMBER('Registro Notas'!$D17:$R17)*'Registro Notas'!$D17:$R17)/SUMPRODUCT(('Matriz Criterios'!$H$27:$V$27="X")*ISNUMBER('Registro Notas'!$D17:$R17)))</f>
        <v/>
      </c>
      <c r="Y17" s="39">
        <f>IF(SUMPRODUCT(('Matriz Criterios'!$H$28:$V$28="X")*ISNUMBER('Registro Notas'!$D17:$R17))=0, "-", SUMPRODUCT(('Matriz Criterios'!$H$28:$V$28="X")*ISNUMBER('Registro Notas'!$D17:$R17)*'Registro Notas'!$D17:$R17)/SUMPRODUCT(('Matriz Criterios'!$H$28:$V$28="X")*ISNUMBER('Registro Notas'!$D17:$R17)))</f>
        <v/>
      </c>
      <c r="Z17" s="39">
        <f>IF(SUMPRODUCT(('Matriz Criterios'!$H$29:$V$29="X")*ISNUMBER('Registro Notas'!$D17:$R17))=0, "-", SUMPRODUCT(('Matriz Criterios'!$H$29:$V$29="X")*ISNUMBER('Registro Notas'!$D17:$R17)*'Registro Notas'!$D17:$R17)/SUMPRODUCT(('Matriz Criterios'!$H$29:$V$29="X")*ISNUMBER('Registro Notas'!$D17:$R17)))</f>
        <v/>
      </c>
      <c r="AA17" s="39">
        <f>IF(SUMPRODUCT(('Matriz Criterios'!$H$30:$V$30="X")*ISNUMBER('Registro Notas'!$D17:$R17))=0, "-", SUMPRODUCT(('Matriz Criterios'!$H$30:$V$30="X")*ISNUMBER('Registro Notas'!$D17:$R17)*'Registro Notas'!$D17:$R17)/SUMPRODUCT(('Matriz Criterios'!$H$30:$V$30="X")*ISNUMBER('Registro Notas'!$D17:$R17)))</f>
        <v/>
      </c>
      <c r="AB17" s="39">
        <f>IF(SUMPRODUCT(('Matriz Criterios'!$H$31:$V$31="X")*ISNUMBER('Registro Notas'!$D17:$R17))=0, "-", SUMPRODUCT(('Matriz Criterios'!$H$31:$V$31="X")*ISNUMBER('Registro Notas'!$D17:$R17)*'Registro Notas'!$D17:$R17)/SUMPRODUCT(('Matriz Criterios'!$H$31:$V$31="X")*ISNUMBER('Registro Notas'!$D17:$R17)))</f>
        <v/>
      </c>
      <c r="AC17" s="39">
        <f>IF(SUMPRODUCT(('Matriz Criterios'!$H$32:$V$32="X")*ISNUMBER('Registro Notas'!$D17:$R17))=0, "-", SUMPRODUCT(('Matriz Criterios'!$H$32:$V$32="X")*ISNUMBER('Registro Notas'!$D17:$R17)*'Registro Notas'!$D17:$R17)/SUMPRODUCT(('Matriz Criterios'!$H$32:$V$32="X")*ISNUMBER('Registro Notas'!$D17:$R17)))</f>
        <v/>
      </c>
      <c r="AD17" s="39">
        <f>IF(SUMPRODUCT(('Matriz Criterios'!$H$33:$V$33="X")*ISNUMBER('Registro Notas'!$D17:$R17))=0, "-", SUMPRODUCT(('Matriz Criterios'!$H$33:$V$33="X")*ISNUMBER('Registro Notas'!$D17:$R17)*'Registro Notas'!$D17:$R17)/SUMPRODUCT(('Matriz Criterios'!$H$33:$V$33="X")*ISNUMBER('Registro Notas'!$D17:$R17)))</f>
        <v/>
      </c>
      <c r="AE17" s="39">
        <f>IF(SUMPRODUCT(('Matriz Criterios'!$H$34:$V$34="X")*ISNUMBER('Registro Notas'!$D17:$R17))=0, "-", SUMPRODUCT(('Matriz Criterios'!$H$34:$V$34="X")*ISNUMBER('Registro Notas'!$D17:$R17)*'Registro Notas'!$D17:$R17)/SUMPRODUCT(('Matriz Criterios'!$H$34:$V$34="X")*ISNUMBER('Registro Notas'!$D17:$R17)))</f>
        <v/>
      </c>
      <c r="AF17" s="39">
        <f>IF(SUMPRODUCT(('Matriz Criterios'!$H$35:$V$35="X")*ISNUMBER('Registro Notas'!$D17:$R17))=0, "-", SUMPRODUCT(('Matriz Criterios'!$H$35:$V$35="X")*ISNUMBER('Registro Notas'!$D17:$R17)*'Registro Notas'!$D17:$R17)/SUMPRODUCT(('Matriz Criterios'!$H$35:$V$35="X")*ISNUMBER('Registro Notas'!$D17:$R17)))</f>
        <v/>
      </c>
      <c r="AG17" s="39">
        <f>IF(SUMPRODUCT(('Matriz Criterios'!$H$36:$V$36="X")*ISNUMBER('Registro Notas'!$D17:$R17))=0, "-", SUMPRODUCT(('Matriz Criterios'!$H$36:$V$36="X")*ISNUMBER('Registro Notas'!$D17:$R17)*'Registro Notas'!$D17:$R17)/SUMPRODUCT(('Matriz Criterios'!$H$36:$V$36="X")*ISNUMBER('Registro Notas'!$D17:$R17)))</f>
        <v/>
      </c>
      <c r="AH17" s="39">
        <f>IF(SUMPRODUCT(('Matriz Criterios'!$H$37:$V$37="X")*ISNUMBER('Registro Notas'!$D17:$R17))=0, "-", SUMPRODUCT(('Matriz Criterios'!$H$37:$V$37="X")*ISNUMBER('Registro Notas'!$D17:$R17)*'Registro Notas'!$D17:$R17)/SUMPRODUCT(('Matriz Criterios'!$H$37:$V$37="X")*ISNUMBER('Registro Notas'!$D17:$R17)))</f>
        <v/>
      </c>
      <c r="AI17" s="39">
        <f>IF(SUMPRODUCT(('Matriz Criterios'!$H$38:$V$38="X")*ISNUMBER('Registro Notas'!$D17:$R17))=0, "-", SUMPRODUCT(('Matriz Criterios'!$H$38:$V$38="X")*ISNUMBER('Registro Notas'!$D17:$R17)*'Registro Notas'!$D17:$R17)/SUMPRODUCT(('Matriz Criterios'!$H$38:$V$38="X")*ISNUMBER('Registro Notas'!$D17:$R17)))</f>
        <v/>
      </c>
      <c r="AJ17" s="39">
        <f>IF(SUMPRODUCT(('Matriz Criterios'!$H$39:$V$39="X")*ISNUMBER('Registro Notas'!$D17:$R17))=0, "-", SUMPRODUCT(('Matriz Criterios'!$H$39:$V$39="X")*ISNUMBER('Registro Notas'!$D17:$R17)*'Registro Notas'!$D17:$R17)/SUMPRODUCT(('Matriz Criterios'!$H$39:$V$39="X")*ISNUMBER('Registro Notas'!$D17:$R17)))</f>
        <v/>
      </c>
      <c r="AK17" s="39">
        <f>IF(SUMPRODUCT(('Matriz Criterios'!$H$40:$V$40="X")*ISNUMBER('Registro Notas'!$D17:$R17))=0, "-", SUMPRODUCT(('Matriz Criterios'!$H$40:$V$40="X")*ISNUMBER('Registro Notas'!$D17:$R17)*'Registro Notas'!$D17:$R17)/SUMPRODUCT(('Matriz Criterios'!$H$40:$V$40="X")*ISNUMBER('Registro Notas'!$D17:$R17)))</f>
        <v/>
      </c>
      <c r="AL17" s="39">
        <f>IF(SUMPRODUCT(('Matriz Criterios'!$H$41:$V$41="X")*ISNUMBER('Registro Notas'!$D17:$R17))=0, "-", SUMPRODUCT(('Matriz Criterios'!$H$41:$V$41="X")*ISNUMBER('Registro Notas'!$D17:$R17)*'Registro Notas'!$D17:$R17)/SUMPRODUCT(('Matriz Criterios'!$H$41:$V$41="X")*ISNUMBER('Registro Notas'!$D17:$R17)))</f>
        <v/>
      </c>
      <c r="AM17" s="39">
        <f>IF(SUMPRODUCT(('Matriz Criterios'!$H$42:$V$42="X")*ISNUMBER('Registro Notas'!$D17:$R17))=0, "-", SUMPRODUCT(('Matriz Criterios'!$H$42:$V$42="X")*ISNUMBER('Registro Notas'!$D17:$R17)*'Registro Notas'!$D17:$R17)/SUMPRODUCT(('Matriz Criterios'!$H$42:$V$42="X")*ISNUMBER('Registro Notas'!$D17:$R17)))</f>
        <v/>
      </c>
      <c r="AN17" s="39">
        <f>IF(SUMPRODUCT(('Matriz Criterios'!$H$43:$V$43="X")*ISNUMBER('Registro Notas'!$D17:$R17))=0, "-", SUMPRODUCT(('Matriz Criterios'!$H$43:$V$43="X")*ISNUMBER('Registro Notas'!$D17:$R17)*'Registro Notas'!$D17:$R17)/SUMPRODUCT(('Matriz Criterios'!$H$43:$V$43="X")*ISNUMBER('Registro Notas'!$D17:$R17)))</f>
        <v/>
      </c>
      <c r="AO17" s="39">
        <f>IF(SUMPRODUCT(('Matriz Criterios'!$H$44:$V$44="X")*ISNUMBER('Registro Notas'!$D17:$R17))=0, "-", SUMPRODUCT(('Matriz Criterios'!$H$44:$V$44="X")*ISNUMBER('Registro Notas'!$D17:$R17)*'Registro Notas'!$D17:$R17)/SUMPRODUCT(('Matriz Criterios'!$H$44:$V$44="X")*ISNUMBER('Registro Notas'!$D17:$R17)))</f>
        <v/>
      </c>
      <c r="AP17" s="39">
        <f>IF(SUMPRODUCT(('Matriz Criterios'!$H$45:$V$45="X")*ISNUMBER('Registro Notas'!$D17:$R17))=0, "-", SUMPRODUCT(('Matriz Criterios'!$H$45:$V$45="X")*ISNUMBER('Registro Notas'!$D17:$R17)*'Registro Notas'!$D17:$R17)/SUMPRODUCT(('Matriz Criterios'!$H$45:$V$45="X")*ISNUMBER('Registro Notas'!$D17:$R17)))</f>
        <v/>
      </c>
      <c r="AQ17" s="49">
        <f>AVERAGE(C17:AP17)</f>
        <v/>
      </c>
      <c r="AR17" s="50">
        <f>COUNTIF(C17:AP17, "&gt;=5")</f>
        <v/>
      </c>
    </row>
    <row r="18" ht="20" customHeight="1">
      <c r="A18" s="13" t="n">
        <v>13</v>
      </c>
      <c r="B18" s="34" t="inlineStr">
        <is>
          <t>Ramírez Soto, Carmen</t>
        </is>
      </c>
      <c r="C18" s="35">
        <f>IF(SUMPRODUCT(('Matriz Criterios'!$H$6:$V$6="X")*ISNUMBER('Registro Notas'!$D18:$R18))=0, "-", SUMPRODUCT(('Matriz Criterios'!$H$6:$V$6="X")*ISNUMBER('Registro Notas'!$D18:$R18)*'Registro Notas'!$D18:$R18)/SUMPRODUCT(('Matriz Criterios'!$H$6:$V$6="X")*ISNUMBER('Registro Notas'!$D18:$R18)))</f>
        <v/>
      </c>
      <c r="D18" s="35">
        <f>IF(SUMPRODUCT(('Matriz Criterios'!$H$7:$V$7="X")*ISNUMBER('Registro Notas'!$D18:$R18))=0, "-", SUMPRODUCT(('Matriz Criterios'!$H$7:$V$7="X")*ISNUMBER('Registro Notas'!$D18:$R18)*'Registro Notas'!$D18:$R18)/SUMPRODUCT(('Matriz Criterios'!$H$7:$V$7="X")*ISNUMBER('Registro Notas'!$D18:$R18)))</f>
        <v/>
      </c>
      <c r="E18" s="35">
        <f>IF(SUMPRODUCT(('Matriz Criterios'!$H$8:$V$8="X")*ISNUMBER('Registro Notas'!$D18:$R18))=0, "-", SUMPRODUCT(('Matriz Criterios'!$H$8:$V$8="X")*ISNUMBER('Registro Notas'!$D18:$R18)*'Registro Notas'!$D18:$R18)/SUMPRODUCT(('Matriz Criterios'!$H$8:$V$8="X")*ISNUMBER('Registro Notas'!$D18:$R18)))</f>
        <v/>
      </c>
      <c r="F18" s="35">
        <f>IF(SUMPRODUCT(('Matriz Criterios'!$H$9:$V$9="X")*ISNUMBER('Registro Notas'!$D18:$R18))=0, "-", SUMPRODUCT(('Matriz Criterios'!$H$9:$V$9="X")*ISNUMBER('Registro Notas'!$D18:$R18)*'Registro Notas'!$D18:$R18)/SUMPRODUCT(('Matriz Criterios'!$H$9:$V$9="X")*ISNUMBER('Registro Notas'!$D18:$R18)))</f>
        <v/>
      </c>
      <c r="G18" s="35">
        <f>IF(SUMPRODUCT(('Matriz Criterios'!$H$10:$V$10="X")*ISNUMBER('Registro Notas'!$D18:$R18))=0, "-", SUMPRODUCT(('Matriz Criterios'!$H$10:$V$10="X")*ISNUMBER('Registro Notas'!$D18:$R18)*'Registro Notas'!$D18:$R18)/SUMPRODUCT(('Matriz Criterios'!$H$10:$V$10="X")*ISNUMBER('Registro Notas'!$D18:$R18)))</f>
        <v/>
      </c>
      <c r="H18" s="35">
        <f>IF(SUMPRODUCT(('Matriz Criterios'!$H$11:$V$11="X")*ISNUMBER('Registro Notas'!$D18:$R18))=0, "-", SUMPRODUCT(('Matriz Criterios'!$H$11:$V$11="X")*ISNUMBER('Registro Notas'!$D18:$R18)*'Registro Notas'!$D18:$R18)/SUMPRODUCT(('Matriz Criterios'!$H$11:$V$11="X")*ISNUMBER('Registro Notas'!$D18:$R18)))</f>
        <v/>
      </c>
      <c r="I18" s="35">
        <f>IF(SUMPRODUCT(('Matriz Criterios'!$H$12:$V$12="X")*ISNUMBER('Registro Notas'!$D18:$R18))=0, "-", SUMPRODUCT(('Matriz Criterios'!$H$12:$V$12="X")*ISNUMBER('Registro Notas'!$D18:$R18)*'Registro Notas'!$D18:$R18)/SUMPRODUCT(('Matriz Criterios'!$H$12:$V$12="X")*ISNUMBER('Registro Notas'!$D18:$R18)))</f>
        <v/>
      </c>
      <c r="J18" s="35">
        <f>IF(SUMPRODUCT(('Matriz Criterios'!$H$13:$V$13="X")*ISNUMBER('Registro Notas'!$D18:$R18))=0, "-", SUMPRODUCT(('Matriz Criterios'!$H$13:$V$13="X")*ISNUMBER('Registro Notas'!$D18:$R18)*'Registro Notas'!$D18:$R18)/SUMPRODUCT(('Matriz Criterios'!$H$13:$V$13="X")*ISNUMBER('Registro Notas'!$D18:$R18)))</f>
        <v/>
      </c>
      <c r="K18" s="35">
        <f>IF(SUMPRODUCT(('Matriz Criterios'!$H$14:$V$14="X")*ISNUMBER('Registro Notas'!$D18:$R18))=0, "-", SUMPRODUCT(('Matriz Criterios'!$H$14:$V$14="X")*ISNUMBER('Registro Notas'!$D18:$R18)*'Registro Notas'!$D18:$R18)/SUMPRODUCT(('Matriz Criterios'!$H$14:$V$14="X")*ISNUMBER('Registro Notas'!$D18:$R18)))</f>
        <v/>
      </c>
      <c r="L18" s="35">
        <f>IF(SUMPRODUCT(('Matriz Criterios'!$H$15:$V$15="X")*ISNUMBER('Registro Notas'!$D18:$R18))=0, "-", SUMPRODUCT(('Matriz Criterios'!$H$15:$V$15="X")*ISNUMBER('Registro Notas'!$D18:$R18)*'Registro Notas'!$D18:$R18)/SUMPRODUCT(('Matriz Criterios'!$H$15:$V$15="X")*ISNUMBER('Registro Notas'!$D18:$R18)))</f>
        <v/>
      </c>
      <c r="M18" s="35">
        <f>IF(SUMPRODUCT(('Matriz Criterios'!$H$16:$V$16="X")*ISNUMBER('Registro Notas'!$D18:$R18))=0, "-", SUMPRODUCT(('Matriz Criterios'!$H$16:$V$16="X")*ISNUMBER('Registro Notas'!$D18:$R18)*'Registro Notas'!$D18:$R18)/SUMPRODUCT(('Matriz Criterios'!$H$16:$V$16="X")*ISNUMBER('Registro Notas'!$D18:$R18)))</f>
        <v/>
      </c>
      <c r="N18" s="35">
        <f>IF(SUMPRODUCT(('Matriz Criterios'!$H$17:$V$17="X")*ISNUMBER('Registro Notas'!$D18:$R18))=0, "-", SUMPRODUCT(('Matriz Criterios'!$H$17:$V$17="X")*ISNUMBER('Registro Notas'!$D18:$R18)*'Registro Notas'!$D18:$R18)/SUMPRODUCT(('Matriz Criterios'!$H$17:$V$17="X")*ISNUMBER('Registro Notas'!$D18:$R18)))</f>
        <v/>
      </c>
      <c r="O18" s="35">
        <f>IF(SUMPRODUCT(('Matriz Criterios'!$H$18:$V$18="X")*ISNUMBER('Registro Notas'!$D18:$R18))=0, "-", SUMPRODUCT(('Matriz Criterios'!$H$18:$V$18="X")*ISNUMBER('Registro Notas'!$D18:$R18)*'Registro Notas'!$D18:$R18)/SUMPRODUCT(('Matriz Criterios'!$H$18:$V$18="X")*ISNUMBER('Registro Notas'!$D18:$R18)))</f>
        <v/>
      </c>
      <c r="P18" s="35">
        <f>IF(SUMPRODUCT(('Matriz Criterios'!$H$19:$V$19="X")*ISNUMBER('Registro Notas'!$D18:$R18))=0, "-", SUMPRODUCT(('Matriz Criterios'!$H$19:$V$19="X")*ISNUMBER('Registro Notas'!$D18:$R18)*'Registro Notas'!$D18:$R18)/SUMPRODUCT(('Matriz Criterios'!$H$19:$V$19="X")*ISNUMBER('Registro Notas'!$D18:$R18)))</f>
        <v/>
      </c>
      <c r="Q18" s="35">
        <f>IF(SUMPRODUCT(('Matriz Criterios'!$H$20:$V$20="X")*ISNUMBER('Registro Notas'!$D18:$R18))=0, "-", SUMPRODUCT(('Matriz Criterios'!$H$20:$V$20="X")*ISNUMBER('Registro Notas'!$D18:$R18)*'Registro Notas'!$D18:$R18)/SUMPRODUCT(('Matriz Criterios'!$H$20:$V$20="X")*ISNUMBER('Registro Notas'!$D18:$R18)))</f>
        <v/>
      </c>
      <c r="R18" s="35">
        <f>IF(SUMPRODUCT(('Matriz Criterios'!$H$21:$V$21="X")*ISNUMBER('Registro Notas'!$D18:$R18))=0, "-", SUMPRODUCT(('Matriz Criterios'!$H$21:$V$21="X")*ISNUMBER('Registro Notas'!$D18:$R18)*'Registro Notas'!$D18:$R18)/SUMPRODUCT(('Matriz Criterios'!$H$21:$V$21="X")*ISNUMBER('Registro Notas'!$D18:$R18)))</f>
        <v/>
      </c>
      <c r="S18" s="35">
        <f>IF(SUMPRODUCT(('Matriz Criterios'!$H$22:$V$22="X")*ISNUMBER('Registro Notas'!$D18:$R18))=0, "-", SUMPRODUCT(('Matriz Criterios'!$H$22:$V$22="X")*ISNUMBER('Registro Notas'!$D18:$R18)*'Registro Notas'!$D18:$R18)/SUMPRODUCT(('Matriz Criterios'!$H$22:$V$22="X")*ISNUMBER('Registro Notas'!$D18:$R18)))</f>
        <v/>
      </c>
      <c r="T18" s="35">
        <f>IF(SUMPRODUCT(('Matriz Criterios'!$H$23:$V$23="X")*ISNUMBER('Registro Notas'!$D18:$R18))=0, "-", SUMPRODUCT(('Matriz Criterios'!$H$23:$V$23="X")*ISNUMBER('Registro Notas'!$D18:$R18)*'Registro Notas'!$D18:$R18)/SUMPRODUCT(('Matriz Criterios'!$H$23:$V$23="X")*ISNUMBER('Registro Notas'!$D18:$R18)))</f>
        <v/>
      </c>
      <c r="U18" s="35">
        <f>IF(SUMPRODUCT(('Matriz Criterios'!$H$24:$V$24="X")*ISNUMBER('Registro Notas'!$D18:$R18))=0, "-", SUMPRODUCT(('Matriz Criterios'!$H$24:$V$24="X")*ISNUMBER('Registro Notas'!$D18:$R18)*'Registro Notas'!$D18:$R18)/SUMPRODUCT(('Matriz Criterios'!$H$24:$V$24="X")*ISNUMBER('Registro Notas'!$D18:$R18)))</f>
        <v/>
      </c>
      <c r="V18" s="35">
        <f>IF(SUMPRODUCT(('Matriz Criterios'!$H$25:$V$25="X")*ISNUMBER('Registro Notas'!$D18:$R18))=0, "-", SUMPRODUCT(('Matriz Criterios'!$H$25:$V$25="X")*ISNUMBER('Registro Notas'!$D18:$R18)*'Registro Notas'!$D18:$R18)/SUMPRODUCT(('Matriz Criterios'!$H$25:$V$25="X")*ISNUMBER('Registro Notas'!$D18:$R18)))</f>
        <v/>
      </c>
      <c r="W18" s="35">
        <f>IF(SUMPRODUCT(('Matriz Criterios'!$H$26:$V$26="X")*ISNUMBER('Registro Notas'!$D18:$R18))=0, "-", SUMPRODUCT(('Matriz Criterios'!$H$26:$V$26="X")*ISNUMBER('Registro Notas'!$D18:$R18)*'Registro Notas'!$D18:$R18)/SUMPRODUCT(('Matriz Criterios'!$H$26:$V$26="X")*ISNUMBER('Registro Notas'!$D18:$R18)))</f>
        <v/>
      </c>
      <c r="X18" s="35">
        <f>IF(SUMPRODUCT(('Matriz Criterios'!$H$27:$V$27="X")*ISNUMBER('Registro Notas'!$D18:$R18))=0, "-", SUMPRODUCT(('Matriz Criterios'!$H$27:$V$27="X")*ISNUMBER('Registro Notas'!$D18:$R18)*'Registro Notas'!$D18:$R18)/SUMPRODUCT(('Matriz Criterios'!$H$27:$V$27="X")*ISNUMBER('Registro Notas'!$D18:$R18)))</f>
        <v/>
      </c>
      <c r="Y18" s="35">
        <f>IF(SUMPRODUCT(('Matriz Criterios'!$H$28:$V$28="X")*ISNUMBER('Registro Notas'!$D18:$R18))=0, "-", SUMPRODUCT(('Matriz Criterios'!$H$28:$V$28="X")*ISNUMBER('Registro Notas'!$D18:$R18)*'Registro Notas'!$D18:$R18)/SUMPRODUCT(('Matriz Criterios'!$H$28:$V$28="X")*ISNUMBER('Registro Notas'!$D18:$R18)))</f>
        <v/>
      </c>
      <c r="Z18" s="35">
        <f>IF(SUMPRODUCT(('Matriz Criterios'!$H$29:$V$29="X")*ISNUMBER('Registro Notas'!$D18:$R18))=0, "-", SUMPRODUCT(('Matriz Criterios'!$H$29:$V$29="X")*ISNUMBER('Registro Notas'!$D18:$R18)*'Registro Notas'!$D18:$R18)/SUMPRODUCT(('Matriz Criterios'!$H$29:$V$29="X")*ISNUMBER('Registro Notas'!$D18:$R18)))</f>
        <v/>
      </c>
      <c r="AA18" s="35">
        <f>IF(SUMPRODUCT(('Matriz Criterios'!$H$30:$V$30="X")*ISNUMBER('Registro Notas'!$D18:$R18))=0, "-", SUMPRODUCT(('Matriz Criterios'!$H$30:$V$30="X")*ISNUMBER('Registro Notas'!$D18:$R18)*'Registro Notas'!$D18:$R18)/SUMPRODUCT(('Matriz Criterios'!$H$30:$V$30="X")*ISNUMBER('Registro Notas'!$D18:$R18)))</f>
        <v/>
      </c>
      <c r="AB18" s="35">
        <f>IF(SUMPRODUCT(('Matriz Criterios'!$H$31:$V$31="X")*ISNUMBER('Registro Notas'!$D18:$R18))=0, "-", SUMPRODUCT(('Matriz Criterios'!$H$31:$V$31="X")*ISNUMBER('Registro Notas'!$D18:$R18)*'Registro Notas'!$D18:$R18)/SUMPRODUCT(('Matriz Criterios'!$H$31:$V$31="X")*ISNUMBER('Registro Notas'!$D18:$R18)))</f>
        <v/>
      </c>
      <c r="AC18" s="35">
        <f>IF(SUMPRODUCT(('Matriz Criterios'!$H$32:$V$32="X")*ISNUMBER('Registro Notas'!$D18:$R18))=0, "-", SUMPRODUCT(('Matriz Criterios'!$H$32:$V$32="X")*ISNUMBER('Registro Notas'!$D18:$R18)*'Registro Notas'!$D18:$R18)/SUMPRODUCT(('Matriz Criterios'!$H$32:$V$32="X")*ISNUMBER('Registro Notas'!$D18:$R18)))</f>
        <v/>
      </c>
      <c r="AD18" s="35">
        <f>IF(SUMPRODUCT(('Matriz Criterios'!$H$33:$V$33="X")*ISNUMBER('Registro Notas'!$D18:$R18))=0, "-", SUMPRODUCT(('Matriz Criterios'!$H$33:$V$33="X")*ISNUMBER('Registro Notas'!$D18:$R18)*'Registro Notas'!$D18:$R18)/SUMPRODUCT(('Matriz Criterios'!$H$33:$V$33="X")*ISNUMBER('Registro Notas'!$D18:$R18)))</f>
        <v/>
      </c>
      <c r="AE18" s="35">
        <f>IF(SUMPRODUCT(('Matriz Criterios'!$H$34:$V$34="X")*ISNUMBER('Registro Notas'!$D18:$R18))=0, "-", SUMPRODUCT(('Matriz Criterios'!$H$34:$V$34="X")*ISNUMBER('Registro Notas'!$D18:$R18)*'Registro Notas'!$D18:$R18)/SUMPRODUCT(('Matriz Criterios'!$H$34:$V$34="X")*ISNUMBER('Registro Notas'!$D18:$R18)))</f>
        <v/>
      </c>
      <c r="AF18" s="35">
        <f>IF(SUMPRODUCT(('Matriz Criterios'!$H$35:$V$35="X")*ISNUMBER('Registro Notas'!$D18:$R18))=0, "-", SUMPRODUCT(('Matriz Criterios'!$H$35:$V$35="X")*ISNUMBER('Registro Notas'!$D18:$R18)*'Registro Notas'!$D18:$R18)/SUMPRODUCT(('Matriz Criterios'!$H$35:$V$35="X")*ISNUMBER('Registro Notas'!$D18:$R18)))</f>
        <v/>
      </c>
      <c r="AG18" s="35">
        <f>IF(SUMPRODUCT(('Matriz Criterios'!$H$36:$V$36="X")*ISNUMBER('Registro Notas'!$D18:$R18))=0, "-", SUMPRODUCT(('Matriz Criterios'!$H$36:$V$36="X")*ISNUMBER('Registro Notas'!$D18:$R18)*'Registro Notas'!$D18:$R18)/SUMPRODUCT(('Matriz Criterios'!$H$36:$V$36="X")*ISNUMBER('Registro Notas'!$D18:$R18)))</f>
        <v/>
      </c>
      <c r="AH18" s="35">
        <f>IF(SUMPRODUCT(('Matriz Criterios'!$H$37:$V$37="X")*ISNUMBER('Registro Notas'!$D18:$R18))=0, "-", SUMPRODUCT(('Matriz Criterios'!$H$37:$V$37="X")*ISNUMBER('Registro Notas'!$D18:$R18)*'Registro Notas'!$D18:$R18)/SUMPRODUCT(('Matriz Criterios'!$H$37:$V$37="X")*ISNUMBER('Registro Notas'!$D18:$R18)))</f>
        <v/>
      </c>
      <c r="AI18" s="35">
        <f>IF(SUMPRODUCT(('Matriz Criterios'!$H$38:$V$38="X")*ISNUMBER('Registro Notas'!$D18:$R18))=0, "-", SUMPRODUCT(('Matriz Criterios'!$H$38:$V$38="X")*ISNUMBER('Registro Notas'!$D18:$R18)*'Registro Notas'!$D18:$R18)/SUMPRODUCT(('Matriz Criterios'!$H$38:$V$38="X")*ISNUMBER('Registro Notas'!$D18:$R18)))</f>
        <v/>
      </c>
      <c r="AJ18" s="35">
        <f>IF(SUMPRODUCT(('Matriz Criterios'!$H$39:$V$39="X")*ISNUMBER('Registro Notas'!$D18:$R18))=0, "-", SUMPRODUCT(('Matriz Criterios'!$H$39:$V$39="X")*ISNUMBER('Registro Notas'!$D18:$R18)*'Registro Notas'!$D18:$R18)/SUMPRODUCT(('Matriz Criterios'!$H$39:$V$39="X")*ISNUMBER('Registro Notas'!$D18:$R18)))</f>
        <v/>
      </c>
      <c r="AK18" s="35">
        <f>IF(SUMPRODUCT(('Matriz Criterios'!$H$40:$V$40="X")*ISNUMBER('Registro Notas'!$D18:$R18))=0, "-", SUMPRODUCT(('Matriz Criterios'!$H$40:$V$40="X")*ISNUMBER('Registro Notas'!$D18:$R18)*'Registro Notas'!$D18:$R18)/SUMPRODUCT(('Matriz Criterios'!$H$40:$V$40="X")*ISNUMBER('Registro Notas'!$D18:$R18)))</f>
        <v/>
      </c>
      <c r="AL18" s="35">
        <f>IF(SUMPRODUCT(('Matriz Criterios'!$H$41:$V$41="X")*ISNUMBER('Registro Notas'!$D18:$R18))=0, "-", SUMPRODUCT(('Matriz Criterios'!$H$41:$V$41="X")*ISNUMBER('Registro Notas'!$D18:$R18)*'Registro Notas'!$D18:$R18)/SUMPRODUCT(('Matriz Criterios'!$H$41:$V$41="X")*ISNUMBER('Registro Notas'!$D18:$R18)))</f>
        <v/>
      </c>
      <c r="AM18" s="35">
        <f>IF(SUMPRODUCT(('Matriz Criterios'!$H$42:$V$42="X")*ISNUMBER('Registro Notas'!$D18:$R18))=0, "-", SUMPRODUCT(('Matriz Criterios'!$H$42:$V$42="X")*ISNUMBER('Registro Notas'!$D18:$R18)*'Registro Notas'!$D18:$R18)/SUMPRODUCT(('Matriz Criterios'!$H$42:$V$42="X")*ISNUMBER('Registro Notas'!$D18:$R18)))</f>
        <v/>
      </c>
      <c r="AN18" s="35">
        <f>IF(SUMPRODUCT(('Matriz Criterios'!$H$43:$V$43="X")*ISNUMBER('Registro Notas'!$D18:$R18))=0, "-", SUMPRODUCT(('Matriz Criterios'!$H$43:$V$43="X")*ISNUMBER('Registro Notas'!$D18:$R18)*'Registro Notas'!$D18:$R18)/SUMPRODUCT(('Matriz Criterios'!$H$43:$V$43="X")*ISNUMBER('Registro Notas'!$D18:$R18)))</f>
        <v/>
      </c>
      <c r="AO18" s="35">
        <f>IF(SUMPRODUCT(('Matriz Criterios'!$H$44:$V$44="X")*ISNUMBER('Registro Notas'!$D18:$R18))=0, "-", SUMPRODUCT(('Matriz Criterios'!$H$44:$V$44="X")*ISNUMBER('Registro Notas'!$D18:$R18)*'Registro Notas'!$D18:$R18)/SUMPRODUCT(('Matriz Criterios'!$H$44:$V$44="X")*ISNUMBER('Registro Notas'!$D18:$R18)))</f>
        <v/>
      </c>
      <c r="AP18" s="35">
        <f>IF(SUMPRODUCT(('Matriz Criterios'!$H$45:$V$45="X")*ISNUMBER('Registro Notas'!$D18:$R18))=0, "-", SUMPRODUCT(('Matriz Criterios'!$H$45:$V$45="X")*ISNUMBER('Registro Notas'!$D18:$R18)*'Registro Notas'!$D18:$R18)/SUMPRODUCT(('Matriz Criterios'!$H$45:$V$45="X")*ISNUMBER('Registro Notas'!$D18:$R18)))</f>
        <v/>
      </c>
      <c r="AQ18" s="49">
        <f>AVERAGE(C18:AP18)</f>
        <v/>
      </c>
      <c r="AR18" s="50">
        <f>COUNTIF(C18:AP18, "&gt;=5")</f>
        <v/>
      </c>
    </row>
    <row r="19" ht="20" customHeight="1">
      <c r="A19" s="21" t="n">
        <v>14</v>
      </c>
      <c r="B19" s="38" t="inlineStr">
        <is>
          <t>Sánchez Vidal, Daniel</t>
        </is>
      </c>
      <c r="C19" s="39">
        <f>IF(SUMPRODUCT(('Matriz Criterios'!$H$6:$V$6="X")*ISNUMBER('Registro Notas'!$D19:$R19))=0, "-", SUMPRODUCT(('Matriz Criterios'!$H$6:$V$6="X")*ISNUMBER('Registro Notas'!$D19:$R19)*'Registro Notas'!$D19:$R19)/SUMPRODUCT(('Matriz Criterios'!$H$6:$V$6="X")*ISNUMBER('Registro Notas'!$D19:$R19)))</f>
        <v/>
      </c>
      <c r="D19" s="39">
        <f>IF(SUMPRODUCT(('Matriz Criterios'!$H$7:$V$7="X")*ISNUMBER('Registro Notas'!$D19:$R19))=0, "-", SUMPRODUCT(('Matriz Criterios'!$H$7:$V$7="X")*ISNUMBER('Registro Notas'!$D19:$R19)*'Registro Notas'!$D19:$R19)/SUMPRODUCT(('Matriz Criterios'!$H$7:$V$7="X")*ISNUMBER('Registro Notas'!$D19:$R19)))</f>
        <v/>
      </c>
      <c r="E19" s="39">
        <f>IF(SUMPRODUCT(('Matriz Criterios'!$H$8:$V$8="X")*ISNUMBER('Registro Notas'!$D19:$R19))=0, "-", SUMPRODUCT(('Matriz Criterios'!$H$8:$V$8="X")*ISNUMBER('Registro Notas'!$D19:$R19)*'Registro Notas'!$D19:$R19)/SUMPRODUCT(('Matriz Criterios'!$H$8:$V$8="X")*ISNUMBER('Registro Notas'!$D19:$R19)))</f>
        <v/>
      </c>
      <c r="F19" s="39">
        <f>IF(SUMPRODUCT(('Matriz Criterios'!$H$9:$V$9="X")*ISNUMBER('Registro Notas'!$D19:$R19))=0, "-", SUMPRODUCT(('Matriz Criterios'!$H$9:$V$9="X")*ISNUMBER('Registro Notas'!$D19:$R19)*'Registro Notas'!$D19:$R19)/SUMPRODUCT(('Matriz Criterios'!$H$9:$V$9="X")*ISNUMBER('Registro Notas'!$D19:$R19)))</f>
        <v/>
      </c>
      <c r="G19" s="39">
        <f>IF(SUMPRODUCT(('Matriz Criterios'!$H$10:$V$10="X")*ISNUMBER('Registro Notas'!$D19:$R19))=0, "-", SUMPRODUCT(('Matriz Criterios'!$H$10:$V$10="X")*ISNUMBER('Registro Notas'!$D19:$R19)*'Registro Notas'!$D19:$R19)/SUMPRODUCT(('Matriz Criterios'!$H$10:$V$10="X")*ISNUMBER('Registro Notas'!$D19:$R19)))</f>
        <v/>
      </c>
      <c r="H19" s="39">
        <f>IF(SUMPRODUCT(('Matriz Criterios'!$H$11:$V$11="X")*ISNUMBER('Registro Notas'!$D19:$R19))=0, "-", SUMPRODUCT(('Matriz Criterios'!$H$11:$V$11="X")*ISNUMBER('Registro Notas'!$D19:$R19)*'Registro Notas'!$D19:$R19)/SUMPRODUCT(('Matriz Criterios'!$H$11:$V$11="X")*ISNUMBER('Registro Notas'!$D19:$R19)))</f>
        <v/>
      </c>
      <c r="I19" s="39">
        <f>IF(SUMPRODUCT(('Matriz Criterios'!$H$12:$V$12="X")*ISNUMBER('Registro Notas'!$D19:$R19))=0, "-", SUMPRODUCT(('Matriz Criterios'!$H$12:$V$12="X")*ISNUMBER('Registro Notas'!$D19:$R19)*'Registro Notas'!$D19:$R19)/SUMPRODUCT(('Matriz Criterios'!$H$12:$V$12="X")*ISNUMBER('Registro Notas'!$D19:$R19)))</f>
        <v/>
      </c>
      <c r="J19" s="39">
        <f>IF(SUMPRODUCT(('Matriz Criterios'!$H$13:$V$13="X")*ISNUMBER('Registro Notas'!$D19:$R19))=0, "-", SUMPRODUCT(('Matriz Criterios'!$H$13:$V$13="X")*ISNUMBER('Registro Notas'!$D19:$R19)*'Registro Notas'!$D19:$R19)/SUMPRODUCT(('Matriz Criterios'!$H$13:$V$13="X")*ISNUMBER('Registro Notas'!$D19:$R19)))</f>
        <v/>
      </c>
      <c r="K19" s="39">
        <f>IF(SUMPRODUCT(('Matriz Criterios'!$H$14:$V$14="X")*ISNUMBER('Registro Notas'!$D19:$R19))=0, "-", SUMPRODUCT(('Matriz Criterios'!$H$14:$V$14="X")*ISNUMBER('Registro Notas'!$D19:$R19)*'Registro Notas'!$D19:$R19)/SUMPRODUCT(('Matriz Criterios'!$H$14:$V$14="X")*ISNUMBER('Registro Notas'!$D19:$R19)))</f>
        <v/>
      </c>
      <c r="L19" s="39">
        <f>IF(SUMPRODUCT(('Matriz Criterios'!$H$15:$V$15="X")*ISNUMBER('Registro Notas'!$D19:$R19))=0, "-", SUMPRODUCT(('Matriz Criterios'!$H$15:$V$15="X")*ISNUMBER('Registro Notas'!$D19:$R19)*'Registro Notas'!$D19:$R19)/SUMPRODUCT(('Matriz Criterios'!$H$15:$V$15="X")*ISNUMBER('Registro Notas'!$D19:$R19)))</f>
        <v/>
      </c>
      <c r="M19" s="39">
        <f>IF(SUMPRODUCT(('Matriz Criterios'!$H$16:$V$16="X")*ISNUMBER('Registro Notas'!$D19:$R19))=0, "-", SUMPRODUCT(('Matriz Criterios'!$H$16:$V$16="X")*ISNUMBER('Registro Notas'!$D19:$R19)*'Registro Notas'!$D19:$R19)/SUMPRODUCT(('Matriz Criterios'!$H$16:$V$16="X")*ISNUMBER('Registro Notas'!$D19:$R19)))</f>
        <v/>
      </c>
      <c r="N19" s="39">
        <f>IF(SUMPRODUCT(('Matriz Criterios'!$H$17:$V$17="X")*ISNUMBER('Registro Notas'!$D19:$R19))=0, "-", SUMPRODUCT(('Matriz Criterios'!$H$17:$V$17="X")*ISNUMBER('Registro Notas'!$D19:$R19)*'Registro Notas'!$D19:$R19)/SUMPRODUCT(('Matriz Criterios'!$H$17:$V$17="X")*ISNUMBER('Registro Notas'!$D19:$R19)))</f>
        <v/>
      </c>
      <c r="O19" s="39">
        <f>IF(SUMPRODUCT(('Matriz Criterios'!$H$18:$V$18="X")*ISNUMBER('Registro Notas'!$D19:$R19))=0, "-", SUMPRODUCT(('Matriz Criterios'!$H$18:$V$18="X")*ISNUMBER('Registro Notas'!$D19:$R19)*'Registro Notas'!$D19:$R19)/SUMPRODUCT(('Matriz Criterios'!$H$18:$V$18="X")*ISNUMBER('Registro Notas'!$D19:$R19)))</f>
        <v/>
      </c>
      <c r="P19" s="39">
        <f>IF(SUMPRODUCT(('Matriz Criterios'!$H$19:$V$19="X")*ISNUMBER('Registro Notas'!$D19:$R19))=0, "-", SUMPRODUCT(('Matriz Criterios'!$H$19:$V$19="X")*ISNUMBER('Registro Notas'!$D19:$R19)*'Registro Notas'!$D19:$R19)/SUMPRODUCT(('Matriz Criterios'!$H$19:$V$19="X")*ISNUMBER('Registro Notas'!$D19:$R19)))</f>
        <v/>
      </c>
      <c r="Q19" s="39">
        <f>IF(SUMPRODUCT(('Matriz Criterios'!$H$20:$V$20="X")*ISNUMBER('Registro Notas'!$D19:$R19))=0, "-", SUMPRODUCT(('Matriz Criterios'!$H$20:$V$20="X")*ISNUMBER('Registro Notas'!$D19:$R19)*'Registro Notas'!$D19:$R19)/SUMPRODUCT(('Matriz Criterios'!$H$20:$V$20="X")*ISNUMBER('Registro Notas'!$D19:$R19)))</f>
        <v/>
      </c>
      <c r="R19" s="39">
        <f>IF(SUMPRODUCT(('Matriz Criterios'!$H$21:$V$21="X")*ISNUMBER('Registro Notas'!$D19:$R19))=0, "-", SUMPRODUCT(('Matriz Criterios'!$H$21:$V$21="X")*ISNUMBER('Registro Notas'!$D19:$R19)*'Registro Notas'!$D19:$R19)/SUMPRODUCT(('Matriz Criterios'!$H$21:$V$21="X")*ISNUMBER('Registro Notas'!$D19:$R19)))</f>
        <v/>
      </c>
      <c r="S19" s="39">
        <f>IF(SUMPRODUCT(('Matriz Criterios'!$H$22:$V$22="X")*ISNUMBER('Registro Notas'!$D19:$R19))=0, "-", SUMPRODUCT(('Matriz Criterios'!$H$22:$V$22="X")*ISNUMBER('Registro Notas'!$D19:$R19)*'Registro Notas'!$D19:$R19)/SUMPRODUCT(('Matriz Criterios'!$H$22:$V$22="X")*ISNUMBER('Registro Notas'!$D19:$R19)))</f>
        <v/>
      </c>
      <c r="T19" s="39">
        <f>IF(SUMPRODUCT(('Matriz Criterios'!$H$23:$V$23="X")*ISNUMBER('Registro Notas'!$D19:$R19))=0, "-", SUMPRODUCT(('Matriz Criterios'!$H$23:$V$23="X")*ISNUMBER('Registro Notas'!$D19:$R19)*'Registro Notas'!$D19:$R19)/SUMPRODUCT(('Matriz Criterios'!$H$23:$V$23="X")*ISNUMBER('Registro Notas'!$D19:$R19)))</f>
        <v/>
      </c>
      <c r="U19" s="39">
        <f>IF(SUMPRODUCT(('Matriz Criterios'!$H$24:$V$24="X")*ISNUMBER('Registro Notas'!$D19:$R19))=0, "-", SUMPRODUCT(('Matriz Criterios'!$H$24:$V$24="X")*ISNUMBER('Registro Notas'!$D19:$R19)*'Registro Notas'!$D19:$R19)/SUMPRODUCT(('Matriz Criterios'!$H$24:$V$24="X")*ISNUMBER('Registro Notas'!$D19:$R19)))</f>
        <v/>
      </c>
      <c r="V19" s="39">
        <f>IF(SUMPRODUCT(('Matriz Criterios'!$H$25:$V$25="X")*ISNUMBER('Registro Notas'!$D19:$R19))=0, "-", SUMPRODUCT(('Matriz Criterios'!$H$25:$V$25="X")*ISNUMBER('Registro Notas'!$D19:$R19)*'Registro Notas'!$D19:$R19)/SUMPRODUCT(('Matriz Criterios'!$H$25:$V$25="X")*ISNUMBER('Registro Notas'!$D19:$R19)))</f>
        <v/>
      </c>
      <c r="W19" s="39">
        <f>IF(SUMPRODUCT(('Matriz Criterios'!$H$26:$V$26="X")*ISNUMBER('Registro Notas'!$D19:$R19))=0, "-", SUMPRODUCT(('Matriz Criterios'!$H$26:$V$26="X")*ISNUMBER('Registro Notas'!$D19:$R19)*'Registro Notas'!$D19:$R19)/SUMPRODUCT(('Matriz Criterios'!$H$26:$V$26="X")*ISNUMBER('Registro Notas'!$D19:$R19)))</f>
        <v/>
      </c>
      <c r="X19" s="39">
        <f>IF(SUMPRODUCT(('Matriz Criterios'!$H$27:$V$27="X")*ISNUMBER('Registro Notas'!$D19:$R19))=0, "-", SUMPRODUCT(('Matriz Criterios'!$H$27:$V$27="X")*ISNUMBER('Registro Notas'!$D19:$R19)*'Registro Notas'!$D19:$R19)/SUMPRODUCT(('Matriz Criterios'!$H$27:$V$27="X")*ISNUMBER('Registro Notas'!$D19:$R19)))</f>
        <v/>
      </c>
      <c r="Y19" s="39">
        <f>IF(SUMPRODUCT(('Matriz Criterios'!$H$28:$V$28="X")*ISNUMBER('Registro Notas'!$D19:$R19))=0, "-", SUMPRODUCT(('Matriz Criterios'!$H$28:$V$28="X")*ISNUMBER('Registro Notas'!$D19:$R19)*'Registro Notas'!$D19:$R19)/SUMPRODUCT(('Matriz Criterios'!$H$28:$V$28="X")*ISNUMBER('Registro Notas'!$D19:$R19)))</f>
        <v/>
      </c>
      <c r="Z19" s="39">
        <f>IF(SUMPRODUCT(('Matriz Criterios'!$H$29:$V$29="X")*ISNUMBER('Registro Notas'!$D19:$R19))=0, "-", SUMPRODUCT(('Matriz Criterios'!$H$29:$V$29="X")*ISNUMBER('Registro Notas'!$D19:$R19)*'Registro Notas'!$D19:$R19)/SUMPRODUCT(('Matriz Criterios'!$H$29:$V$29="X")*ISNUMBER('Registro Notas'!$D19:$R19)))</f>
        <v/>
      </c>
      <c r="AA19" s="39">
        <f>IF(SUMPRODUCT(('Matriz Criterios'!$H$30:$V$30="X")*ISNUMBER('Registro Notas'!$D19:$R19))=0, "-", SUMPRODUCT(('Matriz Criterios'!$H$30:$V$30="X")*ISNUMBER('Registro Notas'!$D19:$R19)*'Registro Notas'!$D19:$R19)/SUMPRODUCT(('Matriz Criterios'!$H$30:$V$30="X")*ISNUMBER('Registro Notas'!$D19:$R19)))</f>
        <v/>
      </c>
      <c r="AB19" s="39">
        <f>IF(SUMPRODUCT(('Matriz Criterios'!$H$31:$V$31="X")*ISNUMBER('Registro Notas'!$D19:$R19))=0, "-", SUMPRODUCT(('Matriz Criterios'!$H$31:$V$31="X")*ISNUMBER('Registro Notas'!$D19:$R19)*'Registro Notas'!$D19:$R19)/SUMPRODUCT(('Matriz Criterios'!$H$31:$V$31="X")*ISNUMBER('Registro Notas'!$D19:$R19)))</f>
        <v/>
      </c>
      <c r="AC19" s="39">
        <f>IF(SUMPRODUCT(('Matriz Criterios'!$H$32:$V$32="X")*ISNUMBER('Registro Notas'!$D19:$R19))=0, "-", SUMPRODUCT(('Matriz Criterios'!$H$32:$V$32="X")*ISNUMBER('Registro Notas'!$D19:$R19)*'Registro Notas'!$D19:$R19)/SUMPRODUCT(('Matriz Criterios'!$H$32:$V$32="X")*ISNUMBER('Registro Notas'!$D19:$R19)))</f>
        <v/>
      </c>
      <c r="AD19" s="39">
        <f>IF(SUMPRODUCT(('Matriz Criterios'!$H$33:$V$33="X")*ISNUMBER('Registro Notas'!$D19:$R19))=0, "-", SUMPRODUCT(('Matriz Criterios'!$H$33:$V$33="X")*ISNUMBER('Registro Notas'!$D19:$R19)*'Registro Notas'!$D19:$R19)/SUMPRODUCT(('Matriz Criterios'!$H$33:$V$33="X")*ISNUMBER('Registro Notas'!$D19:$R19)))</f>
        <v/>
      </c>
      <c r="AE19" s="39">
        <f>IF(SUMPRODUCT(('Matriz Criterios'!$H$34:$V$34="X")*ISNUMBER('Registro Notas'!$D19:$R19))=0, "-", SUMPRODUCT(('Matriz Criterios'!$H$34:$V$34="X")*ISNUMBER('Registro Notas'!$D19:$R19)*'Registro Notas'!$D19:$R19)/SUMPRODUCT(('Matriz Criterios'!$H$34:$V$34="X")*ISNUMBER('Registro Notas'!$D19:$R19)))</f>
        <v/>
      </c>
      <c r="AF19" s="39">
        <f>IF(SUMPRODUCT(('Matriz Criterios'!$H$35:$V$35="X")*ISNUMBER('Registro Notas'!$D19:$R19))=0, "-", SUMPRODUCT(('Matriz Criterios'!$H$35:$V$35="X")*ISNUMBER('Registro Notas'!$D19:$R19)*'Registro Notas'!$D19:$R19)/SUMPRODUCT(('Matriz Criterios'!$H$35:$V$35="X")*ISNUMBER('Registro Notas'!$D19:$R19)))</f>
        <v/>
      </c>
      <c r="AG19" s="39">
        <f>IF(SUMPRODUCT(('Matriz Criterios'!$H$36:$V$36="X")*ISNUMBER('Registro Notas'!$D19:$R19))=0, "-", SUMPRODUCT(('Matriz Criterios'!$H$36:$V$36="X")*ISNUMBER('Registro Notas'!$D19:$R19)*'Registro Notas'!$D19:$R19)/SUMPRODUCT(('Matriz Criterios'!$H$36:$V$36="X")*ISNUMBER('Registro Notas'!$D19:$R19)))</f>
        <v/>
      </c>
      <c r="AH19" s="39">
        <f>IF(SUMPRODUCT(('Matriz Criterios'!$H$37:$V$37="X")*ISNUMBER('Registro Notas'!$D19:$R19))=0, "-", SUMPRODUCT(('Matriz Criterios'!$H$37:$V$37="X")*ISNUMBER('Registro Notas'!$D19:$R19)*'Registro Notas'!$D19:$R19)/SUMPRODUCT(('Matriz Criterios'!$H$37:$V$37="X")*ISNUMBER('Registro Notas'!$D19:$R19)))</f>
        <v/>
      </c>
      <c r="AI19" s="39">
        <f>IF(SUMPRODUCT(('Matriz Criterios'!$H$38:$V$38="X")*ISNUMBER('Registro Notas'!$D19:$R19))=0, "-", SUMPRODUCT(('Matriz Criterios'!$H$38:$V$38="X")*ISNUMBER('Registro Notas'!$D19:$R19)*'Registro Notas'!$D19:$R19)/SUMPRODUCT(('Matriz Criterios'!$H$38:$V$38="X")*ISNUMBER('Registro Notas'!$D19:$R19)))</f>
        <v/>
      </c>
      <c r="AJ19" s="39">
        <f>IF(SUMPRODUCT(('Matriz Criterios'!$H$39:$V$39="X")*ISNUMBER('Registro Notas'!$D19:$R19))=0, "-", SUMPRODUCT(('Matriz Criterios'!$H$39:$V$39="X")*ISNUMBER('Registro Notas'!$D19:$R19)*'Registro Notas'!$D19:$R19)/SUMPRODUCT(('Matriz Criterios'!$H$39:$V$39="X")*ISNUMBER('Registro Notas'!$D19:$R19)))</f>
        <v/>
      </c>
      <c r="AK19" s="39">
        <f>IF(SUMPRODUCT(('Matriz Criterios'!$H$40:$V$40="X")*ISNUMBER('Registro Notas'!$D19:$R19))=0, "-", SUMPRODUCT(('Matriz Criterios'!$H$40:$V$40="X")*ISNUMBER('Registro Notas'!$D19:$R19)*'Registro Notas'!$D19:$R19)/SUMPRODUCT(('Matriz Criterios'!$H$40:$V$40="X")*ISNUMBER('Registro Notas'!$D19:$R19)))</f>
        <v/>
      </c>
      <c r="AL19" s="39">
        <f>IF(SUMPRODUCT(('Matriz Criterios'!$H$41:$V$41="X")*ISNUMBER('Registro Notas'!$D19:$R19))=0, "-", SUMPRODUCT(('Matriz Criterios'!$H$41:$V$41="X")*ISNUMBER('Registro Notas'!$D19:$R19)*'Registro Notas'!$D19:$R19)/SUMPRODUCT(('Matriz Criterios'!$H$41:$V$41="X")*ISNUMBER('Registro Notas'!$D19:$R19)))</f>
        <v/>
      </c>
      <c r="AM19" s="39">
        <f>IF(SUMPRODUCT(('Matriz Criterios'!$H$42:$V$42="X")*ISNUMBER('Registro Notas'!$D19:$R19))=0, "-", SUMPRODUCT(('Matriz Criterios'!$H$42:$V$42="X")*ISNUMBER('Registro Notas'!$D19:$R19)*'Registro Notas'!$D19:$R19)/SUMPRODUCT(('Matriz Criterios'!$H$42:$V$42="X")*ISNUMBER('Registro Notas'!$D19:$R19)))</f>
        <v/>
      </c>
      <c r="AN19" s="39">
        <f>IF(SUMPRODUCT(('Matriz Criterios'!$H$43:$V$43="X")*ISNUMBER('Registro Notas'!$D19:$R19))=0, "-", SUMPRODUCT(('Matriz Criterios'!$H$43:$V$43="X")*ISNUMBER('Registro Notas'!$D19:$R19)*'Registro Notas'!$D19:$R19)/SUMPRODUCT(('Matriz Criterios'!$H$43:$V$43="X")*ISNUMBER('Registro Notas'!$D19:$R19)))</f>
        <v/>
      </c>
      <c r="AO19" s="39">
        <f>IF(SUMPRODUCT(('Matriz Criterios'!$H$44:$V$44="X")*ISNUMBER('Registro Notas'!$D19:$R19))=0, "-", SUMPRODUCT(('Matriz Criterios'!$H$44:$V$44="X")*ISNUMBER('Registro Notas'!$D19:$R19)*'Registro Notas'!$D19:$R19)/SUMPRODUCT(('Matriz Criterios'!$H$44:$V$44="X")*ISNUMBER('Registro Notas'!$D19:$R19)))</f>
        <v/>
      </c>
      <c r="AP19" s="39">
        <f>IF(SUMPRODUCT(('Matriz Criterios'!$H$45:$V$45="X")*ISNUMBER('Registro Notas'!$D19:$R19))=0, "-", SUMPRODUCT(('Matriz Criterios'!$H$45:$V$45="X")*ISNUMBER('Registro Notas'!$D19:$R19)*'Registro Notas'!$D19:$R19)/SUMPRODUCT(('Matriz Criterios'!$H$45:$V$45="X")*ISNUMBER('Registro Notas'!$D19:$R19)))</f>
        <v/>
      </c>
      <c r="AQ19" s="49">
        <f>AVERAGE(C19:AP19)</f>
        <v/>
      </c>
      <c r="AR19" s="50">
        <f>COUNTIF(C19:AP19, "&gt;=5")</f>
        <v/>
      </c>
    </row>
    <row r="20" ht="20" customHeight="1">
      <c r="A20" s="13" t="n">
        <v>15</v>
      </c>
      <c r="B20" s="34" t="inlineStr">
        <is>
          <t>Torres Lozano, Irene</t>
        </is>
      </c>
      <c r="C20" s="35">
        <f>IF(SUMPRODUCT(('Matriz Criterios'!$H$6:$V$6="X")*ISNUMBER('Registro Notas'!$D20:$R20))=0, "-", SUMPRODUCT(('Matriz Criterios'!$H$6:$V$6="X")*ISNUMBER('Registro Notas'!$D20:$R20)*'Registro Notas'!$D20:$R20)/SUMPRODUCT(('Matriz Criterios'!$H$6:$V$6="X")*ISNUMBER('Registro Notas'!$D20:$R20)))</f>
        <v/>
      </c>
      <c r="D20" s="35">
        <f>IF(SUMPRODUCT(('Matriz Criterios'!$H$7:$V$7="X")*ISNUMBER('Registro Notas'!$D20:$R20))=0, "-", SUMPRODUCT(('Matriz Criterios'!$H$7:$V$7="X")*ISNUMBER('Registro Notas'!$D20:$R20)*'Registro Notas'!$D20:$R20)/SUMPRODUCT(('Matriz Criterios'!$H$7:$V$7="X")*ISNUMBER('Registro Notas'!$D20:$R20)))</f>
        <v/>
      </c>
      <c r="E20" s="35">
        <f>IF(SUMPRODUCT(('Matriz Criterios'!$H$8:$V$8="X")*ISNUMBER('Registro Notas'!$D20:$R20))=0, "-", SUMPRODUCT(('Matriz Criterios'!$H$8:$V$8="X")*ISNUMBER('Registro Notas'!$D20:$R20)*'Registro Notas'!$D20:$R20)/SUMPRODUCT(('Matriz Criterios'!$H$8:$V$8="X")*ISNUMBER('Registro Notas'!$D20:$R20)))</f>
        <v/>
      </c>
      <c r="F20" s="35">
        <f>IF(SUMPRODUCT(('Matriz Criterios'!$H$9:$V$9="X")*ISNUMBER('Registro Notas'!$D20:$R20))=0, "-", SUMPRODUCT(('Matriz Criterios'!$H$9:$V$9="X")*ISNUMBER('Registro Notas'!$D20:$R20)*'Registro Notas'!$D20:$R20)/SUMPRODUCT(('Matriz Criterios'!$H$9:$V$9="X")*ISNUMBER('Registro Notas'!$D20:$R20)))</f>
        <v/>
      </c>
      <c r="G20" s="35">
        <f>IF(SUMPRODUCT(('Matriz Criterios'!$H$10:$V$10="X")*ISNUMBER('Registro Notas'!$D20:$R20))=0, "-", SUMPRODUCT(('Matriz Criterios'!$H$10:$V$10="X")*ISNUMBER('Registro Notas'!$D20:$R20)*'Registro Notas'!$D20:$R20)/SUMPRODUCT(('Matriz Criterios'!$H$10:$V$10="X")*ISNUMBER('Registro Notas'!$D20:$R20)))</f>
        <v/>
      </c>
      <c r="H20" s="35">
        <f>IF(SUMPRODUCT(('Matriz Criterios'!$H$11:$V$11="X")*ISNUMBER('Registro Notas'!$D20:$R20))=0, "-", SUMPRODUCT(('Matriz Criterios'!$H$11:$V$11="X")*ISNUMBER('Registro Notas'!$D20:$R20)*'Registro Notas'!$D20:$R20)/SUMPRODUCT(('Matriz Criterios'!$H$11:$V$11="X")*ISNUMBER('Registro Notas'!$D20:$R20)))</f>
        <v/>
      </c>
      <c r="I20" s="35">
        <f>IF(SUMPRODUCT(('Matriz Criterios'!$H$12:$V$12="X")*ISNUMBER('Registro Notas'!$D20:$R20))=0, "-", SUMPRODUCT(('Matriz Criterios'!$H$12:$V$12="X")*ISNUMBER('Registro Notas'!$D20:$R20)*'Registro Notas'!$D20:$R20)/SUMPRODUCT(('Matriz Criterios'!$H$12:$V$12="X")*ISNUMBER('Registro Notas'!$D20:$R20)))</f>
        <v/>
      </c>
      <c r="J20" s="35">
        <f>IF(SUMPRODUCT(('Matriz Criterios'!$H$13:$V$13="X")*ISNUMBER('Registro Notas'!$D20:$R20))=0, "-", SUMPRODUCT(('Matriz Criterios'!$H$13:$V$13="X")*ISNUMBER('Registro Notas'!$D20:$R20)*'Registro Notas'!$D20:$R20)/SUMPRODUCT(('Matriz Criterios'!$H$13:$V$13="X")*ISNUMBER('Registro Notas'!$D20:$R20)))</f>
        <v/>
      </c>
      <c r="K20" s="35">
        <f>IF(SUMPRODUCT(('Matriz Criterios'!$H$14:$V$14="X")*ISNUMBER('Registro Notas'!$D20:$R20))=0, "-", SUMPRODUCT(('Matriz Criterios'!$H$14:$V$14="X")*ISNUMBER('Registro Notas'!$D20:$R20)*'Registro Notas'!$D20:$R20)/SUMPRODUCT(('Matriz Criterios'!$H$14:$V$14="X")*ISNUMBER('Registro Notas'!$D20:$R20)))</f>
        <v/>
      </c>
      <c r="L20" s="35">
        <f>IF(SUMPRODUCT(('Matriz Criterios'!$H$15:$V$15="X")*ISNUMBER('Registro Notas'!$D20:$R20))=0, "-", SUMPRODUCT(('Matriz Criterios'!$H$15:$V$15="X")*ISNUMBER('Registro Notas'!$D20:$R20)*'Registro Notas'!$D20:$R20)/SUMPRODUCT(('Matriz Criterios'!$H$15:$V$15="X")*ISNUMBER('Registro Notas'!$D20:$R20)))</f>
        <v/>
      </c>
      <c r="M20" s="35">
        <f>IF(SUMPRODUCT(('Matriz Criterios'!$H$16:$V$16="X")*ISNUMBER('Registro Notas'!$D20:$R20))=0, "-", SUMPRODUCT(('Matriz Criterios'!$H$16:$V$16="X")*ISNUMBER('Registro Notas'!$D20:$R20)*'Registro Notas'!$D20:$R20)/SUMPRODUCT(('Matriz Criterios'!$H$16:$V$16="X")*ISNUMBER('Registro Notas'!$D20:$R20)))</f>
        <v/>
      </c>
      <c r="N20" s="35">
        <f>IF(SUMPRODUCT(('Matriz Criterios'!$H$17:$V$17="X")*ISNUMBER('Registro Notas'!$D20:$R20))=0, "-", SUMPRODUCT(('Matriz Criterios'!$H$17:$V$17="X")*ISNUMBER('Registro Notas'!$D20:$R20)*'Registro Notas'!$D20:$R20)/SUMPRODUCT(('Matriz Criterios'!$H$17:$V$17="X")*ISNUMBER('Registro Notas'!$D20:$R20)))</f>
        <v/>
      </c>
      <c r="O20" s="35">
        <f>IF(SUMPRODUCT(('Matriz Criterios'!$H$18:$V$18="X")*ISNUMBER('Registro Notas'!$D20:$R20))=0, "-", SUMPRODUCT(('Matriz Criterios'!$H$18:$V$18="X")*ISNUMBER('Registro Notas'!$D20:$R20)*'Registro Notas'!$D20:$R20)/SUMPRODUCT(('Matriz Criterios'!$H$18:$V$18="X")*ISNUMBER('Registro Notas'!$D20:$R20)))</f>
        <v/>
      </c>
      <c r="P20" s="35">
        <f>IF(SUMPRODUCT(('Matriz Criterios'!$H$19:$V$19="X")*ISNUMBER('Registro Notas'!$D20:$R20))=0, "-", SUMPRODUCT(('Matriz Criterios'!$H$19:$V$19="X")*ISNUMBER('Registro Notas'!$D20:$R20)*'Registro Notas'!$D20:$R20)/SUMPRODUCT(('Matriz Criterios'!$H$19:$V$19="X")*ISNUMBER('Registro Notas'!$D20:$R20)))</f>
        <v/>
      </c>
      <c r="Q20" s="35">
        <f>IF(SUMPRODUCT(('Matriz Criterios'!$H$20:$V$20="X")*ISNUMBER('Registro Notas'!$D20:$R20))=0, "-", SUMPRODUCT(('Matriz Criterios'!$H$20:$V$20="X")*ISNUMBER('Registro Notas'!$D20:$R20)*'Registro Notas'!$D20:$R20)/SUMPRODUCT(('Matriz Criterios'!$H$20:$V$20="X")*ISNUMBER('Registro Notas'!$D20:$R20)))</f>
        <v/>
      </c>
      <c r="R20" s="35">
        <f>IF(SUMPRODUCT(('Matriz Criterios'!$H$21:$V$21="X")*ISNUMBER('Registro Notas'!$D20:$R20))=0, "-", SUMPRODUCT(('Matriz Criterios'!$H$21:$V$21="X")*ISNUMBER('Registro Notas'!$D20:$R20)*'Registro Notas'!$D20:$R20)/SUMPRODUCT(('Matriz Criterios'!$H$21:$V$21="X")*ISNUMBER('Registro Notas'!$D20:$R20)))</f>
        <v/>
      </c>
      <c r="S20" s="35">
        <f>IF(SUMPRODUCT(('Matriz Criterios'!$H$22:$V$22="X")*ISNUMBER('Registro Notas'!$D20:$R20))=0, "-", SUMPRODUCT(('Matriz Criterios'!$H$22:$V$22="X")*ISNUMBER('Registro Notas'!$D20:$R20)*'Registro Notas'!$D20:$R20)/SUMPRODUCT(('Matriz Criterios'!$H$22:$V$22="X")*ISNUMBER('Registro Notas'!$D20:$R20)))</f>
        <v/>
      </c>
      <c r="T20" s="35">
        <f>IF(SUMPRODUCT(('Matriz Criterios'!$H$23:$V$23="X")*ISNUMBER('Registro Notas'!$D20:$R20))=0, "-", SUMPRODUCT(('Matriz Criterios'!$H$23:$V$23="X")*ISNUMBER('Registro Notas'!$D20:$R20)*'Registro Notas'!$D20:$R20)/SUMPRODUCT(('Matriz Criterios'!$H$23:$V$23="X")*ISNUMBER('Registro Notas'!$D20:$R20)))</f>
        <v/>
      </c>
      <c r="U20" s="35">
        <f>IF(SUMPRODUCT(('Matriz Criterios'!$H$24:$V$24="X")*ISNUMBER('Registro Notas'!$D20:$R20))=0, "-", SUMPRODUCT(('Matriz Criterios'!$H$24:$V$24="X")*ISNUMBER('Registro Notas'!$D20:$R20)*'Registro Notas'!$D20:$R20)/SUMPRODUCT(('Matriz Criterios'!$H$24:$V$24="X")*ISNUMBER('Registro Notas'!$D20:$R20)))</f>
        <v/>
      </c>
      <c r="V20" s="35">
        <f>IF(SUMPRODUCT(('Matriz Criterios'!$H$25:$V$25="X")*ISNUMBER('Registro Notas'!$D20:$R20))=0, "-", SUMPRODUCT(('Matriz Criterios'!$H$25:$V$25="X")*ISNUMBER('Registro Notas'!$D20:$R20)*'Registro Notas'!$D20:$R20)/SUMPRODUCT(('Matriz Criterios'!$H$25:$V$25="X")*ISNUMBER('Registro Notas'!$D20:$R20)))</f>
        <v/>
      </c>
      <c r="W20" s="35">
        <f>IF(SUMPRODUCT(('Matriz Criterios'!$H$26:$V$26="X")*ISNUMBER('Registro Notas'!$D20:$R20))=0, "-", SUMPRODUCT(('Matriz Criterios'!$H$26:$V$26="X")*ISNUMBER('Registro Notas'!$D20:$R20)*'Registro Notas'!$D20:$R20)/SUMPRODUCT(('Matriz Criterios'!$H$26:$V$26="X")*ISNUMBER('Registro Notas'!$D20:$R20)))</f>
        <v/>
      </c>
      <c r="X20" s="35">
        <f>IF(SUMPRODUCT(('Matriz Criterios'!$H$27:$V$27="X")*ISNUMBER('Registro Notas'!$D20:$R20))=0, "-", SUMPRODUCT(('Matriz Criterios'!$H$27:$V$27="X")*ISNUMBER('Registro Notas'!$D20:$R20)*'Registro Notas'!$D20:$R20)/SUMPRODUCT(('Matriz Criterios'!$H$27:$V$27="X")*ISNUMBER('Registro Notas'!$D20:$R20)))</f>
        <v/>
      </c>
      <c r="Y20" s="35">
        <f>IF(SUMPRODUCT(('Matriz Criterios'!$H$28:$V$28="X")*ISNUMBER('Registro Notas'!$D20:$R20))=0, "-", SUMPRODUCT(('Matriz Criterios'!$H$28:$V$28="X")*ISNUMBER('Registro Notas'!$D20:$R20)*'Registro Notas'!$D20:$R20)/SUMPRODUCT(('Matriz Criterios'!$H$28:$V$28="X")*ISNUMBER('Registro Notas'!$D20:$R20)))</f>
        <v/>
      </c>
      <c r="Z20" s="35">
        <f>IF(SUMPRODUCT(('Matriz Criterios'!$H$29:$V$29="X")*ISNUMBER('Registro Notas'!$D20:$R20))=0, "-", SUMPRODUCT(('Matriz Criterios'!$H$29:$V$29="X")*ISNUMBER('Registro Notas'!$D20:$R20)*'Registro Notas'!$D20:$R20)/SUMPRODUCT(('Matriz Criterios'!$H$29:$V$29="X")*ISNUMBER('Registro Notas'!$D20:$R20)))</f>
        <v/>
      </c>
      <c r="AA20" s="35">
        <f>IF(SUMPRODUCT(('Matriz Criterios'!$H$30:$V$30="X")*ISNUMBER('Registro Notas'!$D20:$R20))=0, "-", SUMPRODUCT(('Matriz Criterios'!$H$30:$V$30="X")*ISNUMBER('Registro Notas'!$D20:$R20)*'Registro Notas'!$D20:$R20)/SUMPRODUCT(('Matriz Criterios'!$H$30:$V$30="X")*ISNUMBER('Registro Notas'!$D20:$R20)))</f>
        <v/>
      </c>
      <c r="AB20" s="35">
        <f>IF(SUMPRODUCT(('Matriz Criterios'!$H$31:$V$31="X")*ISNUMBER('Registro Notas'!$D20:$R20))=0, "-", SUMPRODUCT(('Matriz Criterios'!$H$31:$V$31="X")*ISNUMBER('Registro Notas'!$D20:$R20)*'Registro Notas'!$D20:$R20)/SUMPRODUCT(('Matriz Criterios'!$H$31:$V$31="X")*ISNUMBER('Registro Notas'!$D20:$R20)))</f>
        <v/>
      </c>
      <c r="AC20" s="35">
        <f>IF(SUMPRODUCT(('Matriz Criterios'!$H$32:$V$32="X")*ISNUMBER('Registro Notas'!$D20:$R20))=0, "-", SUMPRODUCT(('Matriz Criterios'!$H$32:$V$32="X")*ISNUMBER('Registro Notas'!$D20:$R20)*'Registro Notas'!$D20:$R20)/SUMPRODUCT(('Matriz Criterios'!$H$32:$V$32="X")*ISNUMBER('Registro Notas'!$D20:$R20)))</f>
        <v/>
      </c>
      <c r="AD20" s="35">
        <f>IF(SUMPRODUCT(('Matriz Criterios'!$H$33:$V$33="X")*ISNUMBER('Registro Notas'!$D20:$R20))=0, "-", SUMPRODUCT(('Matriz Criterios'!$H$33:$V$33="X")*ISNUMBER('Registro Notas'!$D20:$R20)*'Registro Notas'!$D20:$R20)/SUMPRODUCT(('Matriz Criterios'!$H$33:$V$33="X")*ISNUMBER('Registro Notas'!$D20:$R20)))</f>
        <v/>
      </c>
      <c r="AE20" s="35">
        <f>IF(SUMPRODUCT(('Matriz Criterios'!$H$34:$V$34="X")*ISNUMBER('Registro Notas'!$D20:$R20))=0, "-", SUMPRODUCT(('Matriz Criterios'!$H$34:$V$34="X")*ISNUMBER('Registro Notas'!$D20:$R20)*'Registro Notas'!$D20:$R20)/SUMPRODUCT(('Matriz Criterios'!$H$34:$V$34="X")*ISNUMBER('Registro Notas'!$D20:$R20)))</f>
        <v/>
      </c>
      <c r="AF20" s="35">
        <f>IF(SUMPRODUCT(('Matriz Criterios'!$H$35:$V$35="X")*ISNUMBER('Registro Notas'!$D20:$R20))=0, "-", SUMPRODUCT(('Matriz Criterios'!$H$35:$V$35="X")*ISNUMBER('Registro Notas'!$D20:$R20)*'Registro Notas'!$D20:$R20)/SUMPRODUCT(('Matriz Criterios'!$H$35:$V$35="X")*ISNUMBER('Registro Notas'!$D20:$R20)))</f>
        <v/>
      </c>
      <c r="AG20" s="35">
        <f>IF(SUMPRODUCT(('Matriz Criterios'!$H$36:$V$36="X")*ISNUMBER('Registro Notas'!$D20:$R20))=0, "-", SUMPRODUCT(('Matriz Criterios'!$H$36:$V$36="X")*ISNUMBER('Registro Notas'!$D20:$R20)*'Registro Notas'!$D20:$R20)/SUMPRODUCT(('Matriz Criterios'!$H$36:$V$36="X")*ISNUMBER('Registro Notas'!$D20:$R20)))</f>
        <v/>
      </c>
      <c r="AH20" s="35">
        <f>IF(SUMPRODUCT(('Matriz Criterios'!$H$37:$V$37="X")*ISNUMBER('Registro Notas'!$D20:$R20))=0, "-", SUMPRODUCT(('Matriz Criterios'!$H$37:$V$37="X")*ISNUMBER('Registro Notas'!$D20:$R20)*'Registro Notas'!$D20:$R20)/SUMPRODUCT(('Matriz Criterios'!$H$37:$V$37="X")*ISNUMBER('Registro Notas'!$D20:$R20)))</f>
        <v/>
      </c>
      <c r="AI20" s="35">
        <f>IF(SUMPRODUCT(('Matriz Criterios'!$H$38:$V$38="X")*ISNUMBER('Registro Notas'!$D20:$R20))=0, "-", SUMPRODUCT(('Matriz Criterios'!$H$38:$V$38="X")*ISNUMBER('Registro Notas'!$D20:$R20)*'Registro Notas'!$D20:$R20)/SUMPRODUCT(('Matriz Criterios'!$H$38:$V$38="X")*ISNUMBER('Registro Notas'!$D20:$R20)))</f>
        <v/>
      </c>
      <c r="AJ20" s="35">
        <f>IF(SUMPRODUCT(('Matriz Criterios'!$H$39:$V$39="X")*ISNUMBER('Registro Notas'!$D20:$R20))=0, "-", SUMPRODUCT(('Matriz Criterios'!$H$39:$V$39="X")*ISNUMBER('Registro Notas'!$D20:$R20)*'Registro Notas'!$D20:$R20)/SUMPRODUCT(('Matriz Criterios'!$H$39:$V$39="X")*ISNUMBER('Registro Notas'!$D20:$R20)))</f>
        <v/>
      </c>
      <c r="AK20" s="35">
        <f>IF(SUMPRODUCT(('Matriz Criterios'!$H$40:$V$40="X")*ISNUMBER('Registro Notas'!$D20:$R20))=0, "-", SUMPRODUCT(('Matriz Criterios'!$H$40:$V$40="X")*ISNUMBER('Registro Notas'!$D20:$R20)*'Registro Notas'!$D20:$R20)/SUMPRODUCT(('Matriz Criterios'!$H$40:$V$40="X")*ISNUMBER('Registro Notas'!$D20:$R20)))</f>
        <v/>
      </c>
      <c r="AL20" s="35">
        <f>IF(SUMPRODUCT(('Matriz Criterios'!$H$41:$V$41="X")*ISNUMBER('Registro Notas'!$D20:$R20))=0, "-", SUMPRODUCT(('Matriz Criterios'!$H$41:$V$41="X")*ISNUMBER('Registro Notas'!$D20:$R20)*'Registro Notas'!$D20:$R20)/SUMPRODUCT(('Matriz Criterios'!$H$41:$V$41="X")*ISNUMBER('Registro Notas'!$D20:$R20)))</f>
        <v/>
      </c>
      <c r="AM20" s="35">
        <f>IF(SUMPRODUCT(('Matriz Criterios'!$H$42:$V$42="X")*ISNUMBER('Registro Notas'!$D20:$R20))=0, "-", SUMPRODUCT(('Matriz Criterios'!$H$42:$V$42="X")*ISNUMBER('Registro Notas'!$D20:$R20)*'Registro Notas'!$D20:$R20)/SUMPRODUCT(('Matriz Criterios'!$H$42:$V$42="X")*ISNUMBER('Registro Notas'!$D20:$R20)))</f>
        <v/>
      </c>
      <c r="AN20" s="35">
        <f>IF(SUMPRODUCT(('Matriz Criterios'!$H$43:$V$43="X")*ISNUMBER('Registro Notas'!$D20:$R20))=0, "-", SUMPRODUCT(('Matriz Criterios'!$H$43:$V$43="X")*ISNUMBER('Registro Notas'!$D20:$R20)*'Registro Notas'!$D20:$R20)/SUMPRODUCT(('Matriz Criterios'!$H$43:$V$43="X")*ISNUMBER('Registro Notas'!$D20:$R20)))</f>
        <v/>
      </c>
      <c r="AO20" s="35">
        <f>IF(SUMPRODUCT(('Matriz Criterios'!$H$44:$V$44="X")*ISNUMBER('Registro Notas'!$D20:$R20))=0, "-", SUMPRODUCT(('Matriz Criterios'!$H$44:$V$44="X")*ISNUMBER('Registro Notas'!$D20:$R20)*'Registro Notas'!$D20:$R20)/SUMPRODUCT(('Matriz Criterios'!$H$44:$V$44="X")*ISNUMBER('Registro Notas'!$D20:$R20)))</f>
        <v/>
      </c>
      <c r="AP20" s="35">
        <f>IF(SUMPRODUCT(('Matriz Criterios'!$H$45:$V$45="X")*ISNUMBER('Registro Notas'!$D20:$R20))=0, "-", SUMPRODUCT(('Matriz Criterios'!$H$45:$V$45="X")*ISNUMBER('Registro Notas'!$D20:$R20)*'Registro Notas'!$D20:$R20)/SUMPRODUCT(('Matriz Criterios'!$H$45:$V$45="X")*ISNUMBER('Registro Notas'!$D20:$R20)))</f>
        <v/>
      </c>
      <c r="AQ20" s="49">
        <f>AVERAGE(C20:AP20)</f>
        <v/>
      </c>
      <c r="AR20" s="50">
        <f>COUNTIF(C20:AP20, "&gt;=5")</f>
        <v/>
      </c>
    </row>
    <row r="21" ht="24" customHeight="1">
      <c r="A21" s="40" t="inlineStr">
        <is>
          <t>PROMEDIO DEL GRUPO</t>
        </is>
      </c>
      <c r="B21" s="41" t="n"/>
      <c r="C21" s="42">
        <f>AVERAGE(C6:C20)</f>
        <v/>
      </c>
      <c r="D21" s="42">
        <f>AVERAGE(D6:D20)</f>
        <v/>
      </c>
      <c r="E21" s="42">
        <f>AVERAGE(E6:E20)</f>
        <v/>
      </c>
      <c r="F21" s="42">
        <f>AVERAGE(F6:F20)</f>
        <v/>
      </c>
      <c r="G21" s="42">
        <f>AVERAGE(G6:G20)</f>
        <v/>
      </c>
      <c r="H21" s="42">
        <f>AVERAGE(H6:H20)</f>
        <v/>
      </c>
      <c r="I21" s="42">
        <f>AVERAGE(I6:I20)</f>
        <v/>
      </c>
      <c r="J21" s="42">
        <f>AVERAGE(J6:J20)</f>
        <v/>
      </c>
      <c r="K21" s="42">
        <f>AVERAGE(K6:K20)</f>
        <v/>
      </c>
      <c r="L21" s="42">
        <f>AVERAGE(L6:L20)</f>
        <v/>
      </c>
      <c r="M21" s="42">
        <f>AVERAGE(M6:M20)</f>
        <v/>
      </c>
      <c r="N21" s="42">
        <f>AVERAGE(N6:N20)</f>
        <v/>
      </c>
      <c r="O21" s="42">
        <f>AVERAGE(O6:O20)</f>
        <v/>
      </c>
      <c r="P21" s="42">
        <f>AVERAGE(P6:P20)</f>
        <v/>
      </c>
      <c r="Q21" s="42">
        <f>AVERAGE(Q6:Q20)</f>
        <v/>
      </c>
      <c r="R21" s="42">
        <f>AVERAGE(R6:R20)</f>
        <v/>
      </c>
      <c r="S21" s="42">
        <f>AVERAGE(S6:S20)</f>
        <v/>
      </c>
      <c r="T21" s="42">
        <f>AVERAGE(T6:T20)</f>
        <v/>
      </c>
      <c r="U21" s="42">
        <f>AVERAGE(U6:U20)</f>
        <v/>
      </c>
      <c r="V21" s="42">
        <f>AVERAGE(V6:V20)</f>
        <v/>
      </c>
      <c r="W21" s="42">
        <f>AVERAGE(W6:W20)</f>
        <v/>
      </c>
      <c r="X21" s="42">
        <f>AVERAGE(X6:X20)</f>
        <v/>
      </c>
      <c r="Y21" s="42">
        <f>AVERAGE(Y6:Y20)</f>
        <v/>
      </c>
      <c r="Z21" s="42">
        <f>AVERAGE(Z6:Z20)</f>
        <v/>
      </c>
      <c r="AA21" s="42">
        <f>AVERAGE(AA6:AA20)</f>
        <v/>
      </c>
      <c r="AB21" s="42">
        <f>AVERAGE(AB6:AB20)</f>
        <v/>
      </c>
      <c r="AC21" s="42">
        <f>AVERAGE(AC6:AC20)</f>
        <v/>
      </c>
      <c r="AD21" s="42">
        <f>AVERAGE(AD6:AD20)</f>
        <v/>
      </c>
      <c r="AE21" s="42">
        <f>AVERAGE(AE6:AE20)</f>
        <v/>
      </c>
      <c r="AF21" s="42">
        <f>AVERAGE(AF6:AF20)</f>
        <v/>
      </c>
      <c r="AG21" s="42">
        <f>AVERAGE(AG6:AG20)</f>
        <v/>
      </c>
      <c r="AH21" s="42">
        <f>AVERAGE(AH6:AH20)</f>
        <v/>
      </c>
      <c r="AI21" s="42">
        <f>AVERAGE(AI6:AI20)</f>
        <v/>
      </c>
      <c r="AJ21" s="42">
        <f>AVERAGE(AJ6:AJ20)</f>
        <v/>
      </c>
      <c r="AK21" s="42">
        <f>AVERAGE(AK6:AK20)</f>
        <v/>
      </c>
      <c r="AL21" s="42">
        <f>AVERAGE(AL6:AL20)</f>
        <v/>
      </c>
      <c r="AM21" s="42">
        <f>AVERAGE(AM6:AM20)</f>
        <v/>
      </c>
      <c r="AN21" s="42">
        <f>AVERAGE(AN6:AN20)</f>
        <v/>
      </c>
      <c r="AO21" s="42">
        <f>AVERAGE(AO6:AO20)</f>
        <v/>
      </c>
      <c r="AP21" s="42">
        <f>AVERAGE(AP6:AP20)</f>
        <v/>
      </c>
      <c r="AQ21" s="42">
        <f>AVERAGE(AQ6:AQ20)</f>
        <v/>
      </c>
      <c r="AR21" s="42">
        <f>AVERAGE(AR6:AR20)</f>
        <v/>
      </c>
    </row>
  </sheetData>
  <mergeCells count="13">
    <mergeCell ref="A4:B4"/>
    <mergeCell ref="I4:M4"/>
    <mergeCell ref="A21:B21"/>
    <mergeCell ref="AG4:AK4"/>
    <mergeCell ref="A2:AR2"/>
    <mergeCell ref="AL4:AP4"/>
    <mergeCell ref="Y4:AB4"/>
    <mergeCell ref="AC4:AF4"/>
    <mergeCell ref="A1:AR1"/>
    <mergeCell ref="C4:H4"/>
    <mergeCell ref="N4:S4"/>
    <mergeCell ref="T4:X4"/>
    <mergeCell ref="AQ4:AR4"/>
  </mergeCells>
  <conditionalFormatting sqref="C6:AP20">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showGridLines="1" workbookViewId="0">
      <selection activeCell="A1" sqref="A1"/>
    </sheetView>
  </sheetViews>
  <sheetFormatPr baseColWidth="8" defaultRowHeight="15"/>
  <cols>
    <col width="5" customWidth="1" min="1" max="1"/>
    <col width="25" customWidth="1" min="2" max="2"/>
    <col width="16" customWidth="1" min="3" max="3"/>
    <col width="16" customWidth="1" min="4" max="4"/>
    <col width="16" customWidth="1" min="5" max="5"/>
    <col width="16" customWidth="1" min="6" max="6"/>
    <col width="15" customWidth="1" min="7" max="7"/>
    <col width="15" customWidth="1" min="8" max="8"/>
    <col width="16" customWidth="1" min="9" max="9"/>
    <col width="16" customWidth="1" min="10" max="10"/>
    <col width="18" customWidth="1" min="11" max="11"/>
  </cols>
  <sheetData>
    <row r="1" ht="36" customHeight="1">
      <c r="A1" s="1" t="inlineStr">
        <is>
          <t>CALIFICACIÓN POR RESULTADOS DE APRENDIZAJE (RA1 a RA8) — PONDERACIÓN OFICIAL</t>
        </is>
      </c>
    </row>
    <row r="2" ht="20" customHeight="1">
      <c r="A2" s="2" t="inlineStr">
        <is>
          <t>Cada Resultado de Aprendizaje se obtiene promediando sus Criterios de Evaluación evaluados. La Nota Final aplica los pesos oficiales del título en Andalucía.</t>
        </is>
      </c>
    </row>
    <row r="4" ht="42" customHeight="1">
      <c r="A4" s="32" t="inlineStr">
        <is>
          <t>Nº</t>
        </is>
      </c>
      <c r="B4" s="32" t="inlineStr">
        <is>
          <t>Apellidos, Nombre</t>
        </is>
      </c>
      <c r="C4" s="8" t="inlineStr">
        <is>
          <t>RA1 (22%)
Interfaces Gráficas
UX &amp; Layouts</t>
        </is>
      </c>
      <c r="D4" s="8" t="inlineStr">
        <is>
          <t>RA2 (16%)
Interfaces NUI
Voz &amp; Gestos</t>
        </is>
      </c>
      <c r="E4" s="8" t="inlineStr">
        <is>
          <t>RA3 (20%)
Componentes
Angular Standalone</t>
        </is>
      </c>
      <c r="F4" s="8" t="inlineStr">
        <is>
          <t>RA4 (11%)
Accesibilidad
Universal WCAG</t>
        </is>
      </c>
      <c r="G4" s="8" t="inlineStr">
        <is>
          <t>RA5 (4%)
Informes PDF
y Dashboards</t>
        </is>
      </c>
      <c r="H4" s="8" t="inlineStr">
        <is>
          <t>RA6 (7%)
Documentación
y Storybook</t>
        </is>
      </c>
      <c r="I4" s="8" t="inlineStr">
        <is>
          <t>RA7 (10%)
Escritorio Electron
y Empaquetado</t>
        </is>
      </c>
      <c r="J4" s="8" t="inlineStr">
        <is>
          <t>RA8 (10%)
Pruebas Vitest
y Playwright E2E</t>
        </is>
      </c>
      <c r="K4" s="47" t="inlineStr">
        <is>
          <t>CALIFICACIÓN FINAL
ORDINARIA (100%)</t>
        </is>
      </c>
    </row>
    <row r="6" ht="20" customHeight="1">
      <c r="A6" s="13" t="n">
        <v>1</v>
      </c>
      <c r="B6" s="34" t="inlineStr">
        <is>
          <t>Álvarez Gómez, Laura</t>
        </is>
      </c>
      <c r="C6" s="35">
        <f>AVERAGE('Calculo CEs'!C6:H6)</f>
        <v/>
      </c>
      <c r="D6" s="35">
        <f>AVERAGE('Calculo CEs'!I6:M6)</f>
        <v/>
      </c>
      <c r="E6" s="35">
        <f>AVERAGE('Calculo CEs'!N6:S6)</f>
        <v/>
      </c>
      <c r="F6" s="35">
        <f>AVERAGE('Calculo CEs'!T6:X6)</f>
        <v/>
      </c>
      <c r="G6" s="35">
        <f>AVERAGE('Calculo CEs'!Y6:AB6)</f>
        <v/>
      </c>
      <c r="H6" s="35">
        <f>AVERAGE('Calculo CEs'!AC6:AF6)</f>
        <v/>
      </c>
      <c r="I6" s="35">
        <f>AVERAGE('Calculo CEs'!AG6:AK6)</f>
        <v/>
      </c>
      <c r="J6" s="35">
        <f>AVERAGE('Calculo CEs'!AL6:AP6)</f>
        <v/>
      </c>
      <c r="K6" s="51">
        <f>C6*0.22 + D6*0.16 + E6*0.20 + F6*0.11 + G6*0.04 + H6*0.07 + I6*0.10 + J6*0.10</f>
        <v/>
      </c>
    </row>
    <row r="7" ht="20" customHeight="1">
      <c r="A7" s="21" t="n">
        <v>2</v>
      </c>
      <c r="B7" s="38" t="inlineStr">
        <is>
          <t>Benítez Romero, Carlos</t>
        </is>
      </c>
      <c r="C7" s="39">
        <f>AVERAGE('Calculo CEs'!C7:H7)</f>
        <v/>
      </c>
      <c r="D7" s="39">
        <f>AVERAGE('Calculo CEs'!I7:M7)</f>
        <v/>
      </c>
      <c r="E7" s="39">
        <f>AVERAGE('Calculo CEs'!N7:S7)</f>
        <v/>
      </c>
      <c r="F7" s="39">
        <f>AVERAGE('Calculo CEs'!T7:X7)</f>
        <v/>
      </c>
      <c r="G7" s="39">
        <f>AVERAGE('Calculo CEs'!Y7:AB7)</f>
        <v/>
      </c>
      <c r="H7" s="39">
        <f>AVERAGE('Calculo CEs'!AC7:AF7)</f>
        <v/>
      </c>
      <c r="I7" s="39">
        <f>AVERAGE('Calculo CEs'!AG7:AK7)</f>
        <v/>
      </c>
      <c r="J7" s="39">
        <f>AVERAGE('Calculo CEs'!AL7:AP7)</f>
        <v/>
      </c>
      <c r="K7" s="51">
        <f>C7*0.22 + D7*0.16 + E7*0.20 + F7*0.11 + G7*0.04 + H7*0.07 + I7*0.10 + J7*0.10</f>
        <v/>
      </c>
    </row>
    <row r="8" ht="20" customHeight="1">
      <c r="A8" s="13" t="n">
        <v>3</v>
      </c>
      <c r="B8" s="34" t="inlineStr">
        <is>
          <t>Castillo Morales, Elena</t>
        </is>
      </c>
      <c r="C8" s="35">
        <f>AVERAGE('Calculo CEs'!C8:H8)</f>
        <v/>
      </c>
      <c r="D8" s="35">
        <f>AVERAGE('Calculo CEs'!I8:M8)</f>
        <v/>
      </c>
      <c r="E8" s="35">
        <f>AVERAGE('Calculo CEs'!N8:S8)</f>
        <v/>
      </c>
      <c r="F8" s="35">
        <f>AVERAGE('Calculo CEs'!T8:X8)</f>
        <v/>
      </c>
      <c r="G8" s="35">
        <f>AVERAGE('Calculo CEs'!Y8:AB8)</f>
        <v/>
      </c>
      <c r="H8" s="35">
        <f>AVERAGE('Calculo CEs'!AC8:AF8)</f>
        <v/>
      </c>
      <c r="I8" s="35">
        <f>AVERAGE('Calculo CEs'!AG8:AK8)</f>
        <v/>
      </c>
      <c r="J8" s="35">
        <f>AVERAGE('Calculo CEs'!AL8:AP8)</f>
        <v/>
      </c>
      <c r="K8" s="51">
        <f>C8*0.22 + D8*0.16 + E8*0.20 + F8*0.11 + G8*0.04 + H8*0.07 + I8*0.10 + J8*0.10</f>
        <v/>
      </c>
    </row>
    <row r="9" ht="20" customHeight="1">
      <c r="A9" s="21" t="n">
        <v>4</v>
      </c>
      <c r="B9" s="38" t="inlineStr">
        <is>
          <t>Delgado Santos, Alejandro</t>
        </is>
      </c>
      <c r="C9" s="39">
        <f>AVERAGE('Calculo CEs'!C9:H9)</f>
        <v/>
      </c>
      <c r="D9" s="39">
        <f>AVERAGE('Calculo CEs'!I9:M9)</f>
        <v/>
      </c>
      <c r="E9" s="39">
        <f>AVERAGE('Calculo CEs'!N9:S9)</f>
        <v/>
      </c>
      <c r="F9" s="39">
        <f>AVERAGE('Calculo CEs'!T9:X9)</f>
        <v/>
      </c>
      <c r="G9" s="39">
        <f>AVERAGE('Calculo CEs'!Y9:AB9)</f>
        <v/>
      </c>
      <c r="H9" s="39">
        <f>AVERAGE('Calculo CEs'!AC9:AF9)</f>
        <v/>
      </c>
      <c r="I9" s="39">
        <f>AVERAGE('Calculo CEs'!AG9:AK9)</f>
        <v/>
      </c>
      <c r="J9" s="39">
        <f>AVERAGE('Calculo CEs'!AL9:AP9)</f>
        <v/>
      </c>
      <c r="K9" s="51">
        <f>C9*0.22 + D9*0.16 + E9*0.20 + F9*0.11 + G9*0.04 + H9*0.07 + I9*0.10 + J9*0.10</f>
        <v/>
      </c>
    </row>
    <row r="10" ht="20" customHeight="1">
      <c r="A10" s="13" t="n">
        <v>5</v>
      </c>
      <c r="B10" s="34" t="inlineStr">
        <is>
          <t>Fernández Navarro, Lucía</t>
        </is>
      </c>
      <c r="C10" s="35">
        <f>AVERAGE('Calculo CEs'!C10:H10)</f>
        <v/>
      </c>
      <c r="D10" s="35">
        <f>AVERAGE('Calculo CEs'!I10:M10)</f>
        <v/>
      </c>
      <c r="E10" s="35">
        <f>AVERAGE('Calculo CEs'!N10:S10)</f>
        <v/>
      </c>
      <c r="F10" s="35">
        <f>AVERAGE('Calculo CEs'!T10:X10)</f>
        <v/>
      </c>
      <c r="G10" s="35">
        <f>AVERAGE('Calculo CEs'!Y10:AB10)</f>
        <v/>
      </c>
      <c r="H10" s="35">
        <f>AVERAGE('Calculo CEs'!AC10:AF10)</f>
        <v/>
      </c>
      <c r="I10" s="35">
        <f>AVERAGE('Calculo CEs'!AG10:AK10)</f>
        <v/>
      </c>
      <c r="J10" s="35">
        <f>AVERAGE('Calculo CEs'!AL10:AP10)</f>
        <v/>
      </c>
      <c r="K10" s="51">
        <f>C10*0.22 + D10*0.16 + E10*0.20 + F10*0.11 + G10*0.04 + H10*0.07 + I10*0.10 + J10*0.10</f>
        <v/>
      </c>
    </row>
    <row r="11" ht="20" customHeight="1">
      <c r="A11" s="21" t="n">
        <v>6</v>
      </c>
      <c r="B11" s="38" t="inlineStr">
        <is>
          <t>García Serrano, David</t>
        </is>
      </c>
      <c r="C11" s="39">
        <f>AVERAGE('Calculo CEs'!C11:H11)</f>
        <v/>
      </c>
      <c r="D11" s="39">
        <f>AVERAGE('Calculo CEs'!I11:M11)</f>
        <v/>
      </c>
      <c r="E11" s="39">
        <f>AVERAGE('Calculo CEs'!N11:S11)</f>
        <v/>
      </c>
      <c r="F11" s="39">
        <f>AVERAGE('Calculo CEs'!T11:X11)</f>
        <v/>
      </c>
      <c r="G11" s="39">
        <f>AVERAGE('Calculo CEs'!Y11:AB11)</f>
        <v/>
      </c>
      <c r="H11" s="39">
        <f>AVERAGE('Calculo CEs'!AC11:AF11)</f>
        <v/>
      </c>
      <c r="I11" s="39">
        <f>AVERAGE('Calculo CEs'!AG11:AK11)</f>
        <v/>
      </c>
      <c r="J11" s="39">
        <f>AVERAGE('Calculo CEs'!AL11:AP11)</f>
        <v/>
      </c>
      <c r="K11" s="51">
        <f>C11*0.22 + D11*0.16 + E11*0.20 + F11*0.11 + G11*0.04 + H11*0.07 + I11*0.10 + J11*0.10</f>
        <v/>
      </c>
    </row>
    <row r="12" ht="20" customHeight="1">
      <c r="A12" s="13" t="n">
        <v>7</v>
      </c>
      <c r="B12" s="34" t="inlineStr">
        <is>
          <t>Herrera Cruz, Marta</t>
        </is>
      </c>
      <c r="C12" s="35">
        <f>AVERAGE('Calculo CEs'!C12:H12)</f>
        <v/>
      </c>
      <c r="D12" s="35">
        <f>AVERAGE('Calculo CEs'!I12:M12)</f>
        <v/>
      </c>
      <c r="E12" s="35">
        <f>AVERAGE('Calculo CEs'!N12:S12)</f>
        <v/>
      </c>
      <c r="F12" s="35">
        <f>AVERAGE('Calculo CEs'!T12:X12)</f>
        <v/>
      </c>
      <c r="G12" s="35">
        <f>AVERAGE('Calculo CEs'!Y12:AB12)</f>
        <v/>
      </c>
      <c r="H12" s="35">
        <f>AVERAGE('Calculo CEs'!AC12:AF12)</f>
        <v/>
      </c>
      <c r="I12" s="35">
        <f>AVERAGE('Calculo CEs'!AG12:AK12)</f>
        <v/>
      </c>
      <c r="J12" s="35">
        <f>AVERAGE('Calculo CEs'!AL12:AP12)</f>
        <v/>
      </c>
      <c r="K12" s="51">
        <f>C12*0.22 + D12*0.16 + E12*0.20 + F12*0.11 + G12*0.04 + H12*0.07 + I12*0.10 + J12*0.10</f>
        <v/>
      </c>
    </row>
    <row r="13" ht="20" customHeight="1">
      <c r="A13" s="21" t="n">
        <v>8</v>
      </c>
      <c r="B13" s="38" t="inlineStr">
        <is>
          <t>Jiménez Ortiz, Pablo</t>
        </is>
      </c>
      <c r="C13" s="39">
        <f>AVERAGE('Calculo CEs'!C13:H13)</f>
        <v/>
      </c>
      <c r="D13" s="39">
        <f>AVERAGE('Calculo CEs'!I13:M13)</f>
        <v/>
      </c>
      <c r="E13" s="39">
        <f>AVERAGE('Calculo CEs'!N13:S13)</f>
        <v/>
      </c>
      <c r="F13" s="39">
        <f>AVERAGE('Calculo CEs'!T13:X13)</f>
        <v/>
      </c>
      <c r="G13" s="39">
        <f>AVERAGE('Calculo CEs'!Y13:AB13)</f>
        <v/>
      </c>
      <c r="H13" s="39">
        <f>AVERAGE('Calculo CEs'!AC13:AF13)</f>
        <v/>
      </c>
      <c r="I13" s="39">
        <f>AVERAGE('Calculo CEs'!AG13:AK13)</f>
        <v/>
      </c>
      <c r="J13" s="39">
        <f>AVERAGE('Calculo CEs'!AL13:AP13)</f>
        <v/>
      </c>
      <c r="K13" s="51">
        <f>C13*0.22 + D13*0.16 + E13*0.20 + F13*0.11 + G13*0.04 + H13*0.07 + I13*0.10 + J13*0.10</f>
        <v/>
      </c>
    </row>
    <row r="14" ht="20" customHeight="1">
      <c r="A14" s="13" t="n">
        <v>9</v>
      </c>
      <c r="B14" s="34" t="inlineStr">
        <is>
          <t>López Molina, Sara</t>
        </is>
      </c>
      <c r="C14" s="35">
        <f>AVERAGE('Calculo CEs'!C14:H14)</f>
        <v/>
      </c>
      <c r="D14" s="35">
        <f>AVERAGE('Calculo CEs'!I14:M14)</f>
        <v/>
      </c>
      <c r="E14" s="35">
        <f>AVERAGE('Calculo CEs'!N14:S14)</f>
        <v/>
      </c>
      <c r="F14" s="35">
        <f>AVERAGE('Calculo CEs'!T14:X14)</f>
        <v/>
      </c>
      <c r="G14" s="35">
        <f>AVERAGE('Calculo CEs'!Y14:AB14)</f>
        <v/>
      </c>
      <c r="H14" s="35">
        <f>AVERAGE('Calculo CEs'!AC14:AF14)</f>
        <v/>
      </c>
      <c r="I14" s="35">
        <f>AVERAGE('Calculo CEs'!AG14:AK14)</f>
        <v/>
      </c>
      <c r="J14" s="35">
        <f>AVERAGE('Calculo CEs'!AL14:AP14)</f>
        <v/>
      </c>
      <c r="K14" s="51">
        <f>C14*0.22 + D14*0.16 + E14*0.20 + F14*0.11 + G14*0.04 + H14*0.07 + I14*0.10 + J14*0.10</f>
        <v/>
      </c>
    </row>
    <row r="15" ht="20" customHeight="1">
      <c r="A15" s="21" t="n">
        <v>10</v>
      </c>
      <c r="B15" s="38" t="inlineStr">
        <is>
          <t>Martín Vega, Javier</t>
        </is>
      </c>
      <c r="C15" s="39">
        <f>AVERAGE('Calculo CEs'!C15:H15)</f>
        <v/>
      </c>
      <c r="D15" s="39">
        <f>AVERAGE('Calculo CEs'!I15:M15)</f>
        <v/>
      </c>
      <c r="E15" s="39">
        <f>AVERAGE('Calculo CEs'!N15:S15)</f>
        <v/>
      </c>
      <c r="F15" s="39">
        <f>AVERAGE('Calculo CEs'!T15:X15)</f>
        <v/>
      </c>
      <c r="G15" s="39">
        <f>AVERAGE('Calculo CEs'!Y15:AB15)</f>
        <v/>
      </c>
      <c r="H15" s="39">
        <f>AVERAGE('Calculo CEs'!AC15:AF15)</f>
        <v/>
      </c>
      <c r="I15" s="39">
        <f>AVERAGE('Calculo CEs'!AG15:AK15)</f>
        <v/>
      </c>
      <c r="J15" s="39">
        <f>AVERAGE('Calculo CEs'!AL15:AP15)</f>
        <v/>
      </c>
      <c r="K15" s="51">
        <f>C15*0.22 + D15*0.16 + E15*0.20 + F15*0.11 + G15*0.04 + H15*0.07 + I15*0.10 + J15*0.10</f>
        <v/>
      </c>
    </row>
    <row r="16" ht="20" customHeight="1">
      <c r="A16" s="13" t="n">
        <v>11</v>
      </c>
      <c r="B16" s="34" t="inlineStr">
        <is>
          <t>Navarro Gil, Ana</t>
        </is>
      </c>
      <c r="C16" s="35">
        <f>AVERAGE('Calculo CEs'!C16:H16)</f>
        <v/>
      </c>
      <c r="D16" s="35">
        <f>AVERAGE('Calculo CEs'!I16:M16)</f>
        <v/>
      </c>
      <c r="E16" s="35">
        <f>AVERAGE('Calculo CEs'!N16:S16)</f>
        <v/>
      </c>
      <c r="F16" s="35">
        <f>AVERAGE('Calculo CEs'!T16:X16)</f>
        <v/>
      </c>
      <c r="G16" s="35">
        <f>AVERAGE('Calculo CEs'!Y16:AB16)</f>
        <v/>
      </c>
      <c r="H16" s="35">
        <f>AVERAGE('Calculo CEs'!AC16:AF16)</f>
        <v/>
      </c>
      <c r="I16" s="35">
        <f>AVERAGE('Calculo CEs'!AG16:AK16)</f>
        <v/>
      </c>
      <c r="J16" s="35">
        <f>AVERAGE('Calculo CEs'!AL16:AP16)</f>
        <v/>
      </c>
      <c r="K16" s="51">
        <f>C16*0.22 + D16*0.16 + E16*0.20 + F16*0.11 + G16*0.04 + H16*0.07 + I16*0.10 + J16*0.10</f>
        <v/>
      </c>
    </row>
    <row r="17" ht="20" customHeight="1">
      <c r="A17" s="21" t="n">
        <v>12</v>
      </c>
      <c r="B17" s="38" t="inlineStr">
        <is>
          <t>Pérez Rubio, Álvaro</t>
        </is>
      </c>
      <c r="C17" s="39">
        <f>AVERAGE('Calculo CEs'!C17:H17)</f>
        <v/>
      </c>
      <c r="D17" s="39">
        <f>AVERAGE('Calculo CEs'!I17:M17)</f>
        <v/>
      </c>
      <c r="E17" s="39">
        <f>AVERAGE('Calculo CEs'!N17:S17)</f>
        <v/>
      </c>
      <c r="F17" s="39">
        <f>AVERAGE('Calculo CEs'!T17:X17)</f>
        <v/>
      </c>
      <c r="G17" s="39">
        <f>AVERAGE('Calculo CEs'!Y17:AB17)</f>
        <v/>
      </c>
      <c r="H17" s="39">
        <f>AVERAGE('Calculo CEs'!AC17:AF17)</f>
        <v/>
      </c>
      <c r="I17" s="39">
        <f>AVERAGE('Calculo CEs'!AG17:AK17)</f>
        <v/>
      </c>
      <c r="J17" s="39">
        <f>AVERAGE('Calculo CEs'!AL17:AP17)</f>
        <v/>
      </c>
      <c r="K17" s="51">
        <f>C17*0.22 + D17*0.16 + E17*0.20 + F17*0.11 + G17*0.04 + H17*0.07 + I17*0.10 + J17*0.10</f>
        <v/>
      </c>
    </row>
    <row r="18" ht="20" customHeight="1">
      <c r="A18" s="13" t="n">
        <v>13</v>
      </c>
      <c r="B18" s="34" t="inlineStr">
        <is>
          <t>Ramírez Soto, Carmen</t>
        </is>
      </c>
      <c r="C18" s="35">
        <f>AVERAGE('Calculo CEs'!C18:H18)</f>
        <v/>
      </c>
      <c r="D18" s="35">
        <f>AVERAGE('Calculo CEs'!I18:M18)</f>
        <v/>
      </c>
      <c r="E18" s="35">
        <f>AVERAGE('Calculo CEs'!N18:S18)</f>
        <v/>
      </c>
      <c r="F18" s="35">
        <f>AVERAGE('Calculo CEs'!T18:X18)</f>
        <v/>
      </c>
      <c r="G18" s="35">
        <f>AVERAGE('Calculo CEs'!Y18:AB18)</f>
        <v/>
      </c>
      <c r="H18" s="35">
        <f>AVERAGE('Calculo CEs'!AC18:AF18)</f>
        <v/>
      </c>
      <c r="I18" s="35">
        <f>AVERAGE('Calculo CEs'!AG18:AK18)</f>
        <v/>
      </c>
      <c r="J18" s="35">
        <f>AVERAGE('Calculo CEs'!AL18:AP18)</f>
        <v/>
      </c>
      <c r="K18" s="51">
        <f>C18*0.22 + D18*0.16 + E18*0.20 + F18*0.11 + G18*0.04 + H18*0.07 + I18*0.10 + J18*0.10</f>
        <v/>
      </c>
    </row>
    <row r="19" ht="20" customHeight="1">
      <c r="A19" s="21" t="n">
        <v>14</v>
      </c>
      <c r="B19" s="38" t="inlineStr">
        <is>
          <t>Sánchez Vidal, Daniel</t>
        </is>
      </c>
      <c r="C19" s="39">
        <f>AVERAGE('Calculo CEs'!C19:H19)</f>
        <v/>
      </c>
      <c r="D19" s="39">
        <f>AVERAGE('Calculo CEs'!I19:M19)</f>
        <v/>
      </c>
      <c r="E19" s="39">
        <f>AVERAGE('Calculo CEs'!N19:S19)</f>
        <v/>
      </c>
      <c r="F19" s="39">
        <f>AVERAGE('Calculo CEs'!T19:X19)</f>
        <v/>
      </c>
      <c r="G19" s="39">
        <f>AVERAGE('Calculo CEs'!Y19:AB19)</f>
        <v/>
      </c>
      <c r="H19" s="39">
        <f>AVERAGE('Calculo CEs'!AC19:AF19)</f>
        <v/>
      </c>
      <c r="I19" s="39">
        <f>AVERAGE('Calculo CEs'!AG19:AK19)</f>
        <v/>
      </c>
      <c r="J19" s="39">
        <f>AVERAGE('Calculo CEs'!AL19:AP19)</f>
        <v/>
      </c>
      <c r="K19" s="51">
        <f>C19*0.22 + D19*0.16 + E19*0.20 + F19*0.11 + G19*0.04 + H19*0.07 + I19*0.10 + J19*0.10</f>
        <v/>
      </c>
    </row>
    <row r="20" ht="20" customHeight="1">
      <c r="A20" s="13" t="n">
        <v>15</v>
      </c>
      <c r="B20" s="34" t="inlineStr">
        <is>
          <t>Torres Lozano, Irene</t>
        </is>
      </c>
      <c r="C20" s="35">
        <f>AVERAGE('Calculo CEs'!C20:H20)</f>
        <v/>
      </c>
      <c r="D20" s="35">
        <f>AVERAGE('Calculo CEs'!I20:M20)</f>
        <v/>
      </c>
      <c r="E20" s="35">
        <f>AVERAGE('Calculo CEs'!N20:S20)</f>
        <v/>
      </c>
      <c r="F20" s="35">
        <f>AVERAGE('Calculo CEs'!T20:X20)</f>
        <v/>
      </c>
      <c r="G20" s="35">
        <f>AVERAGE('Calculo CEs'!Y20:AB20)</f>
        <v/>
      </c>
      <c r="H20" s="35">
        <f>AVERAGE('Calculo CEs'!AC20:AF20)</f>
        <v/>
      </c>
      <c r="I20" s="35">
        <f>AVERAGE('Calculo CEs'!AG20:AK20)</f>
        <v/>
      </c>
      <c r="J20" s="35">
        <f>AVERAGE('Calculo CEs'!AL20:AP20)</f>
        <v/>
      </c>
      <c r="K20" s="51">
        <f>C20*0.22 + D20*0.16 + E20*0.20 + F20*0.11 + G20*0.04 + H20*0.07 + I20*0.10 + J20*0.10</f>
        <v/>
      </c>
    </row>
    <row r="21" ht="24" customHeight="1">
      <c r="A21" s="40" t="inlineStr">
        <is>
          <t>PROMEDIO DEL GRUPO</t>
        </is>
      </c>
      <c r="B21" s="41" t="n"/>
      <c r="C21" s="42">
        <f>AVERAGE(C6:C20)</f>
        <v/>
      </c>
      <c r="D21" s="42">
        <f>AVERAGE(D6:D20)</f>
        <v/>
      </c>
      <c r="E21" s="42">
        <f>AVERAGE(E6:E20)</f>
        <v/>
      </c>
      <c r="F21" s="42">
        <f>AVERAGE(F6:F20)</f>
        <v/>
      </c>
      <c r="G21" s="42">
        <f>AVERAGE(G6:G20)</f>
        <v/>
      </c>
      <c r="H21" s="42">
        <f>AVERAGE(H6:H20)</f>
        <v/>
      </c>
      <c r="I21" s="42">
        <f>AVERAGE(I6:I20)</f>
        <v/>
      </c>
      <c r="J21" s="42">
        <f>AVERAGE(J6:J20)</f>
        <v/>
      </c>
      <c r="K21" s="42">
        <f>AVERAGE(K6:K20)</f>
        <v/>
      </c>
    </row>
  </sheetData>
  <mergeCells count="3">
    <mergeCell ref="A2:K2"/>
    <mergeCell ref="A21:B21"/>
    <mergeCell ref="A1:K1"/>
  </mergeCells>
  <conditionalFormatting sqref="K6:K20">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4"/>
  <sheetViews>
    <sheetView showGridLines="1" workbookViewId="0">
      <selection activeCell="A1" sqref="A1"/>
    </sheetView>
  </sheetViews>
  <sheetFormatPr baseColWidth="8" defaultRowHeight="15"/>
  <cols>
    <col width="5" customWidth="1" min="1" max="1"/>
    <col width="24" customWidth="1" min="2" max="2"/>
    <col width="10" customWidth="1" min="3" max="3"/>
    <col width="10"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9" customWidth="1" min="13" max="13"/>
    <col width="16" customWidth="1" min="14" max="14"/>
    <col width="18" customWidth="1" min="15" max="15"/>
    <col width="22" customWidth="1" min="16" max="16"/>
  </cols>
  <sheetData>
    <row r="1" ht="36" customHeight="1">
      <c r="A1" s="1" t="inlineStr">
        <is>
          <t>PANEL DE CONTROL GENERAL — DESARROLLO DE INTERFACES (2º DAM)</t>
        </is>
      </c>
    </row>
    <row r="2" ht="20" customHeight="1">
      <c r="A2" s="2" t="inlineStr">
        <is>
          <t>Síntesis Integral: Trimestres, Resultados de Aprendizaje Oficiales, Calificación Ordinaria y Acceso a Formación en Empresa (Dual)</t>
        </is>
      </c>
    </row>
    <row r="4">
      <c r="B4" s="52" t="inlineStr">
        <is>
          <t>ALUMNADO MATRICULADO</t>
        </is>
      </c>
      <c r="E4" s="52" t="inlineStr">
        <is>
          <t>APROBADOS EVAL. ORDINARIA</t>
        </is>
      </c>
      <c r="H4" s="52" t="inlineStr">
        <is>
          <t>SUSPENSOS EVAL. ORDINARIA</t>
        </is>
      </c>
      <c r="K4" s="52" t="inlineStr">
        <is>
          <t>NOTA MEDIA DEL GRUPO</t>
        </is>
      </c>
      <c r="N4" s="52" t="inlineStr">
        <is>
          <t>TASA DE ÉXITO ACADÉMICO</t>
        </is>
      </c>
    </row>
    <row r="5">
      <c r="B5" s="53">
        <f>COUNTA(A9:A23)</f>
        <v/>
      </c>
      <c r="E5" s="54">
        <f>COUNTIF(N9:N23, "&gt;=5")</f>
        <v/>
      </c>
      <c r="H5" s="55">
        <f>COUNTIF(N9:N23, "&lt;5")</f>
        <v/>
      </c>
      <c r="K5" s="56">
        <f>AVERAGE(N9:N23)</f>
        <v/>
      </c>
      <c r="N5" s="57">
        <f>E5/B5</f>
        <v/>
      </c>
    </row>
    <row r="6"/>
    <row r="8" ht="40" customHeight="1">
      <c r="A8" s="32" t="inlineStr">
        <is>
          <t>Nº</t>
        </is>
      </c>
      <c r="B8" s="32" t="inlineStr">
        <is>
          <t>Apellidos, Nombre</t>
        </is>
      </c>
      <c r="C8" s="9" t="inlineStr">
        <is>
          <t>1º Trim
(T1)</t>
        </is>
      </c>
      <c r="D8" s="9" t="inlineStr">
        <is>
          <t>2º Trim
(T2)</t>
        </is>
      </c>
      <c r="E8" s="8" t="inlineStr">
        <is>
          <t>RA1
(22%)</t>
        </is>
      </c>
      <c r="F8" s="8" t="inlineStr">
        <is>
          <t>RA2
(16%)</t>
        </is>
      </c>
      <c r="G8" s="8" t="inlineStr">
        <is>
          <t>RA3
(20%)</t>
        </is>
      </c>
      <c r="H8" s="8" t="inlineStr">
        <is>
          <t>RA4
(11%)</t>
        </is>
      </c>
      <c r="I8" s="8" t="inlineStr">
        <is>
          <t>RA5
(4%)</t>
        </is>
      </c>
      <c r="J8" s="8" t="inlineStr">
        <is>
          <t>RA6
(7%)</t>
        </is>
      </c>
      <c r="K8" s="8" t="inlineStr">
        <is>
          <t>RA7
(10%)</t>
        </is>
      </c>
      <c r="L8" s="8" t="inlineStr">
        <is>
          <t>RA8
(10%)</t>
        </is>
      </c>
      <c r="M8" s="47" t="inlineStr">
        <is>
          <t>Media
T1-T2</t>
        </is>
      </c>
      <c r="N8" s="47" t="inlineStr">
        <is>
          <t>Nota Final
Ordinaria (Marzo)</t>
        </is>
      </c>
      <c r="O8" s="33" t="inlineStr">
        <is>
          <t>Calificación Cualitativa</t>
        </is>
      </c>
      <c r="P8" s="33" t="inlineStr">
        <is>
          <t>Acceso a Dual en Empresa</t>
        </is>
      </c>
    </row>
    <row r="9" ht="20" customHeight="1">
      <c r="A9" s="21" t="n">
        <v>1</v>
      </c>
      <c r="B9" s="38" t="inlineStr">
        <is>
          <t>Álvarez Gómez, Laura</t>
        </is>
      </c>
      <c r="C9" s="58">
        <f>'Registro Notas'!S6</f>
        <v/>
      </c>
      <c r="D9" s="59">
        <f>'Registro Notas'!T6</f>
        <v/>
      </c>
      <c r="E9" s="39">
        <f>'Calculo RAs'!C6</f>
        <v/>
      </c>
      <c r="F9" s="39">
        <f>'Calculo RAs'!D6</f>
        <v/>
      </c>
      <c r="G9" s="39">
        <f>'Calculo RAs'!E6</f>
        <v/>
      </c>
      <c r="H9" s="39">
        <f>'Calculo RAs'!F6</f>
        <v/>
      </c>
      <c r="I9" s="39">
        <f>'Calculo RAs'!G6</f>
        <v/>
      </c>
      <c r="J9" s="39">
        <f>'Calculo RAs'!H6</f>
        <v/>
      </c>
      <c r="K9" s="39">
        <f>'Calculo RAs'!I6</f>
        <v/>
      </c>
      <c r="L9" s="39">
        <f>'Calculo RAs'!J6</f>
        <v/>
      </c>
      <c r="M9" s="39">
        <f>AVERAGE(C9, D9)</f>
        <v/>
      </c>
      <c r="N9" s="51">
        <f>'Calculo RAs'!K6</f>
        <v/>
      </c>
      <c r="O9" s="18">
        <f>IF(N9&gt;=9, "SOBRESALIENTE", IF(N9&gt;=7, "NOTABLE", IF(N9&gt;=6, "BIEN", IF(N9&gt;=5, "SUFICIENTE", "INSUFICIENTE"))))</f>
        <v/>
      </c>
      <c r="P9" s="18">
        <f>IF(N9&gt;=5, "AUTORIZADO (DUAL)", "PENDIENTE RECUP.")</f>
        <v/>
      </c>
    </row>
    <row r="10" ht="20" customHeight="1">
      <c r="A10" s="13" t="n">
        <v>2</v>
      </c>
      <c r="B10" s="34" t="inlineStr">
        <is>
          <t>Benítez Romero, Carlos</t>
        </is>
      </c>
      <c r="C10" s="36">
        <f>'Registro Notas'!S7</f>
        <v/>
      </c>
      <c r="D10" s="37">
        <f>'Registro Notas'!T7</f>
        <v/>
      </c>
      <c r="E10" s="35">
        <f>'Calculo RAs'!C7</f>
        <v/>
      </c>
      <c r="F10" s="35">
        <f>'Calculo RAs'!D7</f>
        <v/>
      </c>
      <c r="G10" s="35">
        <f>'Calculo RAs'!E7</f>
        <v/>
      </c>
      <c r="H10" s="35">
        <f>'Calculo RAs'!F7</f>
        <v/>
      </c>
      <c r="I10" s="35">
        <f>'Calculo RAs'!G7</f>
        <v/>
      </c>
      <c r="J10" s="35">
        <f>'Calculo RAs'!H7</f>
        <v/>
      </c>
      <c r="K10" s="35">
        <f>'Calculo RAs'!I7</f>
        <v/>
      </c>
      <c r="L10" s="35">
        <f>'Calculo RAs'!J7</f>
        <v/>
      </c>
      <c r="M10" s="35">
        <f>AVERAGE(C10, D10)</f>
        <v/>
      </c>
      <c r="N10" s="51">
        <f>'Calculo RAs'!K7</f>
        <v/>
      </c>
      <c r="O10" s="10">
        <f>IF(N10&gt;=9, "SOBRESALIENTE", IF(N10&gt;=7, "NOTABLE", IF(N10&gt;=6, "BIEN", IF(N10&gt;=5, "SUFICIENTE", "INSUFICIENTE"))))</f>
        <v/>
      </c>
      <c r="P10" s="10">
        <f>IF(N10&gt;=5, "AUTORIZADO (DUAL)", "PENDIENTE RECUP.")</f>
        <v/>
      </c>
    </row>
    <row r="11" ht="20" customHeight="1">
      <c r="A11" s="21" t="n">
        <v>3</v>
      </c>
      <c r="B11" s="38" t="inlineStr">
        <is>
          <t>Castillo Morales, Elena</t>
        </is>
      </c>
      <c r="C11" s="58">
        <f>'Registro Notas'!S8</f>
        <v/>
      </c>
      <c r="D11" s="59">
        <f>'Registro Notas'!T8</f>
        <v/>
      </c>
      <c r="E11" s="39">
        <f>'Calculo RAs'!C8</f>
        <v/>
      </c>
      <c r="F11" s="39">
        <f>'Calculo RAs'!D8</f>
        <v/>
      </c>
      <c r="G11" s="39">
        <f>'Calculo RAs'!E8</f>
        <v/>
      </c>
      <c r="H11" s="39">
        <f>'Calculo RAs'!F8</f>
        <v/>
      </c>
      <c r="I11" s="39">
        <f>'Calculo RAs'!G8</f>
        <v/>
      </c>
      <c r="J11" s="39">
        <f>'Calculo RAs'!H8</f>
        <v/>
      </c>
      <c r="K11" s="39">
        <f>'Calculo RAs'!I8</f>
        <v/>
      </c>
      <c r="L11" s="39">
        <f>'Calculo RAs'!J8</f>
        <v/>
      </c>
      <c r="M11" s="39">
        <f>AVERAGE(C11, D11)</f>
        <v/>
      </c>
      <c r="N11" s="51">
        <f>'Calculo RAs'!K8</f>
        <v/>
      </c>
      <c r="O11" s="18">
        <f>IF(N11&gt;=9, "SOBRESALIENTE", IF(N11&gt;=7, "NOTABLE", IF(N11&gt;=6, "BIEN", IF(N11&gt;=5, "SUFICIENTE", "INSUFICIENTE"))))</f>
        <v/>
      </c>
      <c r="P11" s="18">
        <f>IF(N11&gt;=5, "AUTORIZADO (DUAL)", "PENDIENTE RECUP.")</f>
        <v/>
      </c>
    </row>
    <row r="12" ht="20" customHeight="1">
      <c r="A12" s="13" t="n">
        <v>4</v>
      </c>
      <c r="B12" s="34" t="inlineStr">
        <is>
          <t>Delgado Santos, Alejandro</t>
        </is>
      </c>
      <c r="C12" s="36">
        <f>'Registro Notas'!S9</f>
        <v/>
      </c>
      <c r="D12" s="37">
        <f>'Registro Notas'!T9</f>
        <v/>
      </c>
      <c r="E12" s="35">
        <f>'Calculo RAs'!C9</f>
        <v/>
      </c>
      <c r="F12" s="35">
        <f>'Calculo RAs'!D9</f>
        <v/>
      </c>
      <c r="G12" s="35">
        <f>'Calculo RAs'!E9</f>
        <v/>
      </c>
      <c r="H12" s="35">
        <f>'Calculo RAs'!F9</f>
        <v/>
      </c>
      <c r="I12" s="35">
        <f>'Calculo RAs'!G9</f>
        <v/>
      </c>
      <c r="J12" s="35">
        <f>'Calculo RAs'!H9</f>
        <v/>
      </c>
      <c r="K12" s="35">
        <f>'Calculo RAs'!I9</f>
        <v/>
      </c>
      <c r="L12" s="35">
        <f>'Calculo RAs'!J9</f>
        <v/>
      </c>
      <c r="M12" s="35">
        <f>AVERAGE(C12, D12)</f>
        <v/>
      </c>
      <c r="N12" s="51">
        <f>'Calculo RAs'!K9</f>
        <v/>
      </c>
      <c r="O12" s="10">
        <f>IF(N12&gt;=9, "SOBRESALIENTE", IF(N12&gt;=7, "NOTABLE", IF(N12&gt;=6, "BIEN", IF(N12&gt;=5, "SUFICIENTE", "INSUFICIENTE"))))</f>
        <v/>
      </c>
      <c r="P12" s="10">
        <f>IF(N12&gt;=5, "AUTORIZADO (DUAL)", "PENDIENTE RECUP.")</f>
        <v/>
      </c>
    </row>
    <row r="13" ht="20" customHeight="1">
      <c r="A13" s="21" t="n">
        <v>5</v>
      </c>
      <c r="B13" s="38" t="inlineStr">
        <is>
          <t>Fernández Navarro, Lucía</t>
        </is>
      </c>
      <c r="C13" s="58">
        <f>'Registro Notas'!S10</f>
        <v/>
      </c>
      <c r="D13" s="59">
        <f>'Registro Notas'!T10</f>
        <v/>
      </c>
      <c r="E13" s="39">
        <f>'Calculo RAs'!C10</f>
        <v/>
      </c>
      <c r="F13" s="39">
        <f>'Calculo RAs'!D10</f>
        <v/>
      </c>
      <c r="G13" s="39">
        <f>'Calculo RAs'!E10</f>
        <v/>
      </c>
      <c r="H13" s="39">
        <f>'Calculo RAs'!F10</f>
        <v/>
      </c>
      <c r="I13" s="39">
        <f>'Calculo RAs'!G10</f>
        <v/>
      </c>
      <c r="J13" s="39">
        <f>'Calculo RAs'!H10</f>
        <v/>
      </c>
      <c r="K13" s="39">
        <f>'Calculo RAs'!I10</f>
        <v/>
      </c>
      <c r="L13" s="39">
        <f>'Calculo RAs'!J10</f>
        <v/>
      </c>
      <c r="M13" s="39">
        <f>AVERAGE(C13, D13)</f>
        <v/>
      </c>
      <c r="N13" s="51">
        <f>'Calculo RAs'!K10</f>
        <v/>
      </c>
      <c r="O13" s="18">
        <f>IF(N13&gt;=9, "SOBRESALIENTE", IF(N13&gt;=7, "NOTABLE", IF(N13&gt;=6, "BIEN", IF(N13&gt;=5, "SUFICIENTE", "INSUFICIENTE"))))</f>
        <v/>
      </c>
      <c r="P13" s="18">
        <f>IF(N13&gt;=5, "AUTORIZADO (DUAL)", "PENDIENTE RECUP.")</f>
        <v/>
      </c>
    </row>
    <row r="14" ht="20" customHeight="1">
      <c r="A14" s="13" t="n">
        <v>6</v>
      </c>
      <c r="B14" s="34" t="inlineStr">
        <is>
          <t>García Serrano, David</t>
        </is>
      </c>
      <c r="C14" s="36">
        <f>'Registro Notas'!S11</f>
        <v/>
      </c>
      <c r="D14" s="37">
        <f>'Registro Notas'!T11</f>
        <v/>
      </c>
      <c r="E14" s="35">
        <f>'Calculo RAs'!C11</f>
        <v/>
      </c>
      <c r="F14" s="35">
        <f>'Calculo RAs'!D11</f>
        <v/>
      </c>
      <c r="G14" s="35">
        <f>'Calculo RAs'!E11</f>
        <v/>
      </c>
      <c r="H14" s="35">
        <f>'Calculo RAs'!F11</f>
        <v/>
      </c>
      <c r="I14" s="35">
        <f>'Calculo RAs'!G11</f>
        <v/>
      </c>
      <c r="J14" s="35">
        <f>'Calculo RAs'!H11</f>
        <v/>
      </c>
      <c r="K14" s="35">
        <f>'Calculo RAs'!I11</f>
        <v/>
      </c>
      <c r="L14" s="35">
        <f>'Calculo RAs'!J11</f>
        <v/>
      </c>
      <c r="M14" s="35">
        <f>AVERAGE(C14, D14)</f>
        <v/>
      </c>
      <c r="N14" s="51">
        <f>'Calculo RAs'!K11</f>
        <v/>
      </c>
      <c r="O14" s="10">
        <f>IF(N14&gt;=9, "SOBRESALIENTE", IF(N14&gt;=7, "NOTABLE", IF(N14&gt;=6, "BIEN", IF(N14&gt;=5, "SUFICIENTE", "INSUFICIENTE"))))</f>
        <v/>
      </c>
      <c r="P14" s="10">
        <f>IF(N14&gt;=5, "AUTORIZADO (DUAL)", "PENDIENTE RECUP.")</f>
        <v/>
      </c>
    </row>
    <row r="15" ht="20" customHeight="1">
      <c r="A15" s="21" t="n">
        <v>7</v>
      </c>
      <c r="B15" s="38" t="inlineStr">
        <is>
          <t>Herrera Cruz, Marta</t>
        </is>
      </c>
      <c r="C15" s="58">
        <f>'Registro Notas'!S12</f>
        <v/>
      </c>
      <c r="D15" s="59">
        <f>'Registro Notas'!T12</f>
        <v/>
      </c>
      <c r="E15" s="39">
        <f>'Calculo RAs'!C12</f>
        <v/>
      </c>
      <c r="F15" s="39">
        <f>'Calculo RAs'!D12</f>
        <v/>
      </c>
      <c r="G15" s="39">
        <f>'Calculo RAs'!E12</f>
        <v/>
      </c>
      <c r="H15" s="39">
        <f>'Calculo RAs'!F12</f>
        <v/>
      </c>
      <c r="I15" s="39">
        <f>'Calculo RAs'!G12</f>
        <v/>
      </c>
      <c r="J15" s="39">
        <f>'Calculo RAs'!H12</f>
        <v/>
      </c>
      <c r="K15" s="39">
        <f>'Calculo RAs'!I12</f>
        <v/>
      </c>
      <c r="L15" s="39">
        <f>'Calculo RAs'!J12</f>
        <v/>
      </c>
      <c r="M15" s="39">
        <f>AVERAGE(C15, D15)</f>
        <v/>
      </c>
      <c r="N15" s="51">
        <f>'Calculo RAs'!K12</f>
        <v/>
      </c>
      <c r="O15" s="18">
        <f>IF(N15&gt;=9, "SOBRESALIENTE", IF(N15&gt;=7, "NOTABLE", IF(N15&gt;=6, "BIEN", IF(N15&gt;=5, "SUFICIENTE", "INSUFICIENTE"))))</f>
        <v/>
      </c>
      <c r="P15" s="18">
        <f>IF(N15&gt;=5, "AUTORIZADO (DUAL)", "PENDIENTE RECUP.")</f>
        <v/>
      </c>
    </row>
    <row r="16" ht="20" customHeight="1">
      <c r="A16" s="13" t="n">
        <v>8</v>
      </c>
      <c r="B16" s="34" t="inlineStr">
        <is>
          <t>Jiménez Ortiz, Pablo</t>
        </is>
      </c>
      <c r="C16" s="36">
        <f>'Registro Notas'!S13</f>
        <v/>
      </c>
      <c r="D16" s="37">
        <f>'Registro Notas'!T13</f>
        <v/>
      </c>
      <c r="E16" s="35">
        <f>'Calculo RAs'!C13</f>
        <v/>
      </c>
      <c r="F16" s="35">
        <f>'Calculo RAs'!D13</f>
        <v/>
      </c>
      <c r="G16" s="35">
        <f>'Calculo RAs'!E13</f>
        <v/>
      </c>
      <c r="H16" s="35">
        <f>'Calculo RAs'!F13</f>
        <v/>
      </c>
      <c r="I16" s="35">
        <f>'Calculo RAs'!G13</f>
        <v/>
      </c>
      <c r="J16" s="35">
        <f>'Calculo RAs'!H13</f>
        <v/>
      </c>
      <c r="K16" s="35">
        <f>'Calculo RAs'!I13</f>
        <v/>
      </c>
      <c r="L16" s="35">
        <f>'Calculo RAs'!J13</f>
        <v/>
      </c>
      <c r="M16" s="35">
        <f>AVERAGE(C16, D16)</f>
        <v/>
      </c>
      <c r="N16" s="51">
        <f>'Calculo RAs'!K13</f>
        <v/>
      </c>
      <c r="O16" s="10">
        <f>IF(N16&gt;=9, "SOBRESALIENTE", IF(N16&gt;=7, "NOTABLE", IF(N16&gt;=6, "BIEN", IF(N16&gt;=5, "SUFICIENTE", "INSUFICIENTE"))))</f>
        <v/>
      </c>
      <c r="P16" s="10">
        <f>IF(N16&gt;=5, "AUTORIZADO (DUAL)", "PENDIENTE RECUP.")</f>
        <v/>
      </c>
    </row>
    <row r="17" ht="20" customHeight="1">
      <c r="A17" s="21" t="n">
        <v>9</v>
      </c>
      <c r="B17" s="38" t="inlineStr">
        <is>
          <t>López Molina, Sara</t>
        </is>
      </c>
      <c r="C17" s="58">
        <f>'Registro Notas'!S14</f>
        <v/>
      </c>
      <c r="D17" s="59">
        <f>'Registro Notas'!T14</f>
        <v/>
      </c>
      <c r="E17" s="39">
        <f>'Calculo RAs'!C14</f>
        <v/>
      </c>
      <c r="F17" s="39">
        <f>'Calculo RAs'!D14</f>
        <v/>
      </c>
      <c r="G17" s="39">
        <f>'Calculo RAs'!E14</f>
        <v/>
      </c>
      <c r="H17" s="39">
        <f>'Calculo RAs'!F14</f>
        <v/>
      </c>
      <c r="I17" s="39">
        <f>'Calculo RAs'!G14</f>
        <v/>
      </c>
      <c r="J17" s="39">
        <f>'Calculo RAs'!H14</f>
        <v/>
      </c>
      <c r="K17" s="39">
        <f>'Calculo RAs'!I14</f>
        <v/>
      </c>
      <c r="L17" s="39">
        <f>'Calculo RAs'!J14</f>
        <v/>
      </c>
      <c r="M17" s="39">
        <f>AVERAGE(C17, D17)</f>
        <v/>
      </c>
      <c r="N17" s="51">
        <f>'Calculo RAs'!K14</f>
        <v/>
      </c>
      <c r="O17" s="18">
        <f>IF(N17&gt;=9, "SOBRESALIENTE", IF(N17&gt;=7, "NOTABLE", IF(N17&gt;=6, "BIEN", IF(N17&gt;=5, "SUFICIENTE", "INSUFICIENTE"))))</f>
        <v/>
      </c>
      <c r="P17" s="18">
        <f>IF(N17&gt;=5, "AUTORIZADO (DUAL)", "PENDIENTE RECUP.")</f>
        <v/>
      </c>
    </row>
    <row r="18" ht="20" customHeight="1">
      <c r="A18" s="13" t="n">
        <v>10</v>
      </c>
      <c r="B18" s="34" t="inlineStr">
        <is>
          <t>Martín Vega, Javier</t>
        </is>
      </c>
      <c r="C18" s="36">
        <f>'Registro Notas'!S15</f>
        <v/>
      </c>
      <c r="D18" s="37">
        <f>'Registro Notas'!T15</f>
        <v/>
      </c>
      <c r="E18" s="35">
        <f>'Calculo RAs'!C15</f>
        <v/>
      </c>
      <c r="F18" s="35">
        <f>'Calculo RAs'!D15</f>
        <v/>
      </c>
      <c r="G18" s="35">
        <f>'Calculo RAs'!E15</f>
        <v/>
      </c>
      <c r="H18" s="35">
        <f>'Calculo RAs'!F15</f>
        <v/>
      </c>
      <c r="I18" s="35">
        <f>'Calculo RAs'!G15</f>
        <v/>
      </c>
      <c r="J18" s="35">
        <f>'Calculo RAs'!H15</f>
        <v/>
      </c>
      <c r="K18" s="35">
        <f>'Calculo RAs'!I15</f>
        <v/>
      </c>
      <c r="L18" s="35">
        <f>'Calculo RAs'!J15</f>
        <v/>
      </c>
      <c r="M18" s="35">
        <f>AVERAGE(C18, D18)</f>
        <v/>
      </c>
      <c r="N18" s="51">
        <f>'Calculo RAs'!K15</f>
        <v/>
      </c>
      <c r="O18" s="10">
        <f>IF(N18&gt;=9, "SOBRESALIENTE", IF(N18&gt;=7, "NOTABLE", IF(N18&gt;=6, "BIEN", IF(N18&gt;=5, "SUFICIENTE", "INSUFICIENTE"))))</f>
        <v/>
      </c>
      <c r="P18" s="10">
        <f>IF(N18&gt;=5, "AUTORIZADO (DUAL)", "PENDIENTE RECUP.")</f>
        <v/>
      </c>
    </row>
    <row r="19" ht="20" customHeight="1">
      <c r="A19" s="21" t="n">
        <v>11</v>
      </c>
      <c r="B19" s="38" t="inlineStr">
        <is>
          <t>Navarro Gil, Ana</t>
        </is>
      </c>
      <c r="C19" s="58">
        <f>'Registro Notas'!S16</f>
        <v/>
      </c>
      <c r="D19" s="59">
        <f>'Registro Notas'!T16</f>
        <v/>
      </c>
      <c r="E19" s="39">
        <f>'Calculo RAs'!C16</f>
        <v/>
      </c>
      <c r="F19" s="39">
        <f>'Calculo RAs'!D16</f>
        <v/>
      </c>
      <c r="G19" s="39">
        <f>'Calculo RAs'!E16</f>
        <v/>
      </c>
      <c r="H19" s="39">
        <f>'Calculo RAs'!F16</f>
        <v/>
      </c>
      <c r="I19" s="39">
        <f>'Calculo RAs'!G16</f>
        <v/>
      </c>
      <c r="J19" s="39">
        <f>'Calculo RAs'!H16</f>
        <v/>
      </c>
      <c r="K19" s="39">
        <f>'Calculo RAs'!I16</f>
        <v/>
      </c>
      <c r="L19" s="39">
        <f>'Calculo RAs'!J16</f>
        <v/>
      </c>
      <c r="M19" s="39">
        <f>AVERAGE(C19, D19)</f>
        <v/>
      </c>
      <c r="N19" s="51">
        <f>'Calculo RAs'!K16</f>
        <v/>
      </c>
      <c r="O19" s="18">
        <f>IF(N19&gt;=9, "SOBRESALIENTE", IF(N19&gt;=7, "NOTABLE", IF(N19&gt;=6, "BIEN", IF(N19&gt;=5, "SUFICIENTE", "INSUFICIENTE"))))</f>
        <v/>
      </c>
      <c r="P19" s="18">
        <f>IF(N19&gt;=5, "AUTORIZADO (DUAL)", "PENDIENTE RECUP.")</f>
        <v/>
      </c>
    </row>
    <row r="20" ht="20" customHeight="1">
      <c r="A20" s="13" t="n">
        <v>12</v>
      </c>
      <c r="B20" s="34" t="inlineStr">
        <is>
          <t>Pérez Rubio, Álvaro</t>
        </is>
      </c>
      <c r="C20" s="36">
        <f>'Registro Notas'!S17</f>
        <v/>
      </c>
      <c r="D20" s="37">
        <f>'Registro Notas'!T17</f>
        <v/>
      </c>
      <c r="E20" s="35">
        <f>'Calculo RAs'!C17</f>
        <v/>
      </c>
      <c r="F20" s="35">
        <f>'Calculo RAs'!D17</f>
        <v/>
      </c>
      <c r="G20" s="35">
        <f>'Calculo RAs'!E17</f>
        <v/>
      </c>
      <c r="H20" s="35">
        <f>'Calculo RAs'!F17</f>
        <v/>
      </c>
      <c r="I20" s="35">
        <f>'Calculo RAs'!G17</f>
        <v/>
      </c>
      <c r="J20" s="35">
        <f>'Calculo RAs'!H17</f>
        <v/>
      </c>
      <c r="K20" s="35">
        <f>'Calculo RAs'!I17</f>
        <v/>
      </c>
      <c r="L20" s="35">
        <f>'Calculo RAs'!J17</f>
        <v/>
      </c>
      <c r="M20" s="35">
        <f>AVERAGE(C20, D20)</f>
        <v/>
      </c>
      <c r="N20" s="51">
        <f>'Calculo RAs'!K17</f>
        <v/>
      </c>
      <c r="O20" s="10">
        <f>IF(N20&gt;=9, "SOBRESALIENTE", IF(N20&gt;=7, "NOTABLE", IF(N20&gt;=6, "BIEN", IF(N20&gt;=5, "SUFICIENTE", "INSUFICIENTE"))))</f>
        <v/>
      </c>
      <c r="P20" s="10">
        <f>IF(N20&gt;=5, "AUTORIZADO (DUAL)", "PENDIENTE RECUP.")</f>
        <v/>
      </c>
    </row>
    <row r="21" ht="20" customHeight="1">
      <c r="A21" s="21" t="n">
        <v>13</v>
      </c>
      <c r="B21" s="38" t="inlineStr">
        <is>
          <t>Ramírez Soto, Carmen</t>
        </is>
      </c>
      <c r="C21" s="58">
        <f>'Registro Notas'!S18</f>
        <v/>
      </c>
      <c r="D21" s="59">
        <f>'Registro Notas'!T18</f>
        <v/>
      </c>
      <c r="E21" s="39">
        <f>'Calculo RAs'!C18</f>
        <v/>
      </c>
      <c r="F21" s="39">
        <f>'Calculo RAs'!D18</f>
        <v/>
      </c>
      <c r="G21" s="39">
        <f>'Calculo RAs'!E18</f>
        <v/>
      </c>
      <c r="H21" s="39">
        <f>'Calculo RAs'!F18</f>
        <v/>
      </c>
      <c r="I21" s="39">
        <f>'Calculo RAs'!G18</f>
        <v/>
      </c>
      <c r="J21" s="39">
        <f>'Calculo RAs'!H18</f>
        <v/>
      </c>
      <c r="K21" s="39">
        <f>'Calculo RAs'!I18</f>
        <v/>
      </c>
      <c r="L21" s="39">
        <f>'Calculo RAs'!J18</f>
        <v/>
      </c>
      <c r="M21" s="39">
        <f>AVERAGE(C21, D21)</f>
        <v/>
      </c>
      <c r="N21" s="51">
        <f>'Calculo RAs'!K18</f>
        <v/>
      </c>
      <c r="O21" s="18">
        <f>IF(N21&gt;=9, "SOBRESALIENTE", IF(N21&gt;=7, "NOTABLE", IF(N21&gt;=6, "BIEN", IF(N21&gt;=5, "SUFICIENTE", "INSUFICIENTE"))))</f>
        <v/>
      </c>
      <c r="P21" s="18">
        <f>IF(N21&gt;=5, "AUTORIZADO (DUAL)", "PENDIENTE RECUP.")</f>
        <v/>
      </c>
    </row>
    <row r="22" ht="20" customHeight="1">
      <c r="A22" s="13" t="n">
        <v>14</v>
      </c>
      <c r="B22" s="34" t="inlineStr">
        <is>
          <t>Sánchez Vidal, Daniel</t>
        </is>
      </c>
      <c r="C22" s="36">
        <f>'Registro Notas'!S19</f>
        <v/>
      </c>
      <c r="D22" s="37">
        <f>'Registro Notas'!T19</f>
        <v/>
      </c>
      <c r="E22" s="35">
        <f>'Calculo RAs'!C19</f>
        <v/>
      </c>
      <c r="F22" s="35">
        <f>'Calculo RAs'!D19</f>
        <v/>
      </c>
      <c r="G22" s="35">
        <f>'Calculo RAs'!E19</f>
        <v/>
      </c>
      <c r="H22" s="35">
        <f>'Calculo RAs'!F19</f>
        <v/>
      </c>
      <c r="I22" s="35">
        <f>'Calculo RAs'!G19</f>
        <v/>
      </c>
      <c r="J22" s="35">
        <f>'Calculo RAs'!H19</f>
        <v/>
      </c>
      <c r="K22" s="35">
        <f>'Calculo RAs'!I19</f>
        <v/>
      </c>
      <c r="L22" s="35">
        <f>'Calculo RAs'!J19</f>
        <v/>
      </c>
      <c r="M22" s="35">
        <f>AVERAGE(C22, D22)</f>
        <v/>
      </c>
      <c r="N22" s="51">
        <f>'Calculo RAs'!K19</f>
        <v/>
      </c>
      <c r="O22" s="10">
        <f>IF(N22&gt;=9, "SOBRESALIENTE", IF(N22&gt;=7, "NOTABLE", IF(N22&gt;=6, "BIEN", IF(N22&gt;=5, "SUFICIENTE", "INSUFICIENTE"))))</f>
        <v/>
      </c>
      <c r="P22" s="10">
        <f>IF(N22&gt;=5, "AUTORIZADO (DUAL)", "PENDIENTE RECUP.")</f>
        <v/>
      </c>
    </row>
    <row r="23" ht="20" customHeight="1">
      <c r="A23" s="21" t="n">
        <v>15</v>
      </c>
      <c r="B23" s="38" t="inlineStr">
        <is>
          <t>Torres Lozano, Irene</t>
        </is>
      </c>
      <c r="C23" s="58">
        <f>'Registro Notas'!S20</f>
        <v/>
      </c>
      <c r="D23" s="59">
        <f>'Registro Notas'!T20</f>
        <v/>
      </c>
      <c r="E23" s="39">
        <f>'Calculo RAs'!C20</f>
        <v/>
      </c>
      <c r="F23" s="39">
        <f>'Calculo RAs'!D20</f>
        <v/>
      </c>
      <c r="G23" s="39">
        <f>'Calculo RAs'!E20</f>
        <v/>
      </c>
      <c r="H23" s="39">
        <f>'Calculo RAs'!F20</f>
        <v/>
      </c>
      <c r="I23" s="39">
        <f>'Calculo RAs'!G20</f>
        <v/>
      </c>
      <c r="J23" s="39">
        <f>'Calculo RAs'!H20</f>
        <v/>
      </c>
      <c r="K23" s="39">
        <f>'Calculo RAs'!I20</f>
        <v/>
      </c>
      <c r="L23" s="39">
        <f>'Calculo RAs'!J20</f>
        <v/>
      </c>
      <c r="M23" s="39">
        <f>AVERAGE(C23, D23)</f>
        <v/>
      </c>
      <c r="N23" s="51">
        <f>'Calculo RAs'!K20</f>
        <v/>
      </c>
      <c r="O23" s="18">
        <f>IF(N23&gt;=9, "SOBRESALIENTE", IF(N23&gt;=7, "NOTABLE", IF(N23&gt;=6, "BIEN", IF(N23&gt;=5, "SUFICIENTE", "INSUFICIENTE"))))</f>
        <v/>
      </c>
      <c r="P23" s="18">
        <f>IF(N23&gt;=5, "AUTORIZADO (DUAL)", "PENDIENTE RECUP.")</f>
        <v/>
      </c>
    </row>
    <row r="24" ht="24" customHeight="1">
      <c r="A24" s="40" t="inlineStr">
        <is>
          <t>PROMEDIO DEL GRUPO</t>
        </is>
      </c>
      <c r="B24" s="41" t="n"/>
      <c r="C24" s="42">
        <f>AVERAGE(C9:C23)</f>
        <v/>
      </c>
      <c r="D24" s="42">
        <f>AVERAGE(D9:D23)</f>
        <v/>
      </c>
      <c r="E24" s="42">
        <f>AVERAGE(E9:E23)</f>
        <v/>
      </c>
      <c r="F24" s="42">
        <f>AVERAGE(F9:F23)</f>
        <v/>
      </c>
      <c r="G24" s="42">
        <f>AVERAGE(G9:G23)</f>
        <v/>
      </c>
      <c r="H24" s="42">
        <f>AVERAGE(H9:H23)</f>
        <v/>
      </c>
      <c r="I24" s="42">
        <f>AVERAGE(I9:I23)</f>
        <v/>
      </c>
      <c r="J24" s="42">
        <f>AVERAGE(J9:J23)</f>
        <v/>
      </c>
      <c r="K24" s="42">
        <f>AVERAGE(K9:K23)</f>
        <v/>
      </c>
      <c r="L24" s="42">
        <f>AVERAGE(L9:L23)</f>
        <v/>
      </c>
      <c r="M24" s="42">
        <f>AVERAGE(M9:M23)</f>
        <v/>
      </c>
      <c r="N24" s="42">
        <f>AVERAGE(N9:N23)</f>
        <v/>
      </c>
      <c r="O24" s="60" t="inlineStr"/>
      <c r="P24" s="60" t="inlineStr"/>
    </row>
  </sheetData>
  <mergeCells count="13">
    <mergeCell ref="E4:F4"/>
    <mergeCell ref="A24:B24"/>
    <mergeCell ref="A1:P1"/>
    <mergeCell ref="B5:C6"/>
    <mergeCell ref="E5:F6"/>
    <mergeCell ref="K5:L6"/>
    <mergeCell ref="H4:I4"/>
    <mergeCell ref="H5:I6"/>
    <mergeCell ref="K4:L4"/>
    <mergeCell ref="N5:O6"/>
    <mergeCell ref="B4:C4"/>
    <mergeCell ref="N4:O4"/>
    <mergeCell ref="A2:P2"/>
  </mergeCells>
  <conditionalFormatting sqref="N9:N23">
    <cfRule type="cellIs" priority="1" operator="greaterThanOrEqual" dxfId="0" stopIfTrue="1">
      <formula>5.0</formula>
    </cfRule>
    <cfRule type="cellIs" priority="2" operator="lessThan" dxfId="1" stopIfTrue="1">
      <formula>5.0</formula>
    </cfRule>
  </conditionalFormatting>
  <conditionalFormatting sqref="P9:P23">
    <cfRule type="cellIs" priority="3" operator="equal" dxfId="0" stopIfTrue="1">
      <formula>"AUTORIZADO (DUAL)"</formula>
    </cfRule>
    <cfRule type="cellIs" priority="4" operator="equal" dxfId="1" stopIfTrue="1">
      <formula>"PENDIENTE RECUP."</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
  <sheetViews>
    <sheetView showGridLines="1" workbookViewId="0">
      <selection activeCell="A1" sqref="A1"/>
    </sheetView>
  </sheetViews>
  <sheetFormatPr baseColWidth="8" defaultRowHeight="15"/>
  <cols>
    <col width="5" customWidth="1" min="1" max="1"/>
    <col width="25" customWidth="1" min="2" max="2"/>
    <col width="15" customWidth="1" min="3" max="3"/>
    <col width="22" customWidth="1" min="4" max="4"/>
    <col width="20" customWidth="1" min="5" max="5"/>
    <col width="14" customWidth="1" min="6" max="6"/>
    <col width="18" customWidth="1" min="7" max="7"/>
    <col width="18" customWidth="1" min="8" max="8"/>
    <col width="20" customWidth="1" min="9" max="9"/>
    <col width="20" customWidth="1" min="10" max="10"/>
  </cols>
  <sheetData>
    <row r="1" ht="36" customHeight="1">
      <c r="A1" s="1" t="inlineStr">
        <is>
          <t>FASE DE FORMACIÓN DUAL EN EMPRESA (T3 - 86 h) Y CONVOCATORIA EXTRAORDINARIA</t>
        </is>
      </c>
    </row>
    <row r="2" ht="20" customHeight="1">
      <c r="A2" s="2" t="inlineStr">
        <is>
          <t>Orden de 26 de septiembre de 2025 (Dual Andalucía) | Periodo en Empresa: Marzo a Junio 2026</t>
        </is>
      </c>
    </row>
    <row r="4" ht="38" customHeight="1">
      <c r="A4" s="32" t="inlineStr">
        <is>
          <t>Nº</t>
        </is>
      </c>
      <c r="B4" s="32" t="inlineStr">
        <is>
          <t>Apellidos, Nombre</t>
        </is>
      </c>
      <c r="C4" s="9" t="inlineStr">
        <is>
          <t>Nota Ordinaria
(Marzo)</t>
        </is>
      </c>
      <c r="D4" s="9" t="inlineStr">
        <is>
          <t>Empresa Asignada</t>
        </is>
      </c>
      <c r="E4" s="9" t="inlineStr">
        <is>
          <t>Tutor/a Laboral</t>
        </is>
      </c>
      <c r="F4" s="9" t="inlineStr">
        <is>
          <t>Horas Dual
(Módulo 86 h)</t>
        </is>
      </c>
      <c r="G4" s="9" t="inlineStr">
        <is>
          <t>Valoración Empresa
(Apto / No Apto)</t>
        </is>
      </c>
      <c r="H4" s="33" t="inlineStr">
        <is>
          <t>RAs Pendientes
(Extraordinaria)</t>
        </is>
      </c>
      <c r="I4" s="33" t="inlineStr">
        <is>
          <t>Nota Convocatoria
Extraordinaria (Junio)</t>
        </is>
      </c>
      <c r="J4" s="33" t="inlineStr">
        <is>
          <t>Calificación Definitiva
Curso Académico</t>
        </is>
      </c>
    </row>
    <row r="5" ht="20" customHeight="1">
      <c r="A5" s="21" t="n">
        <v>1</v>
      </c>
      <c r="B5" s="38" t="inlineStr">
        <is>
          <t>Álvarez Gómez, Laura</t>
        </is>
      </c>
      <c r="C5" s="49">
        <f>'Panel de Control'!N9</f>
        <v/>
      </c>
      <c r="D5" s="20" t="inlineStr">
        <is>
          <t>SoftAndalucía Dev Group</t>
        </is>
      </c>
      <c r="E5" s="20" t="inlineStr">
        <is>
          <t>Dra. Beatriz Cano</t>
        </is>
      </c>
      <c r="F5" s="21" t="n">
        <v>86</v>
      </c>
      <c r="G5" s="18">
        <f>IF(C5&gt;=5, "APTO", "PENDIENTE")</f>
        <v/>
      </c>
      <c r="H5" s="21">
        <f>IF(C5&lt;5, "RA1, RA3", "Ninguno")</f>
        <v/>
      </c>
      <c r="I5" s="39" t="inlineStr"/>
      <c r="J5" s="61">
        <f>IF(ISBLANK(I5), C5, MAX(C5, I5))</f>
        <v/>
      </c>
    </row>
    <row r="6" ht="20" customHeight="1">
      <c r="A6" s="13" t="n">
        <v>2</v>
      </c>
      <c r="B6" s="34" t="inlineStr">
        <is>
          <t>Benítez Romero, Carlos</t>
        </is>
      </c>
      <c r="C6" s="49">
        <f>'Panel de Control'!N10</f>
        <v/>
      </c>
      <c r="D6" s="12" t="inlineStr">
        <is>
          <t>Innovatech Solutions S.L.</t>
        </is>
      </c>
      <c r="E6" s="12" t="inlineStr">
        <is>
          <t>Ing. Manuel Rivas</t>
        </is>
      </c>
      <c r="F6" s="13" t="n">
        <v>86</v>
      </c>
      <c r="G6" s="10">
        <f>IF(C6&gt;=5, "APTO", "PENDIENTE")</f>
        <v/>
      </c>
      <c r="H6" s="13">
        <f>IF(C6&lt;5, "RA1, RA3", "Ninguno")</f>
        <v/>
      </c>
      <c r="I6" s="35" t="inlineStr"/>
      <c r="J6" s="61">
        <f>IF(ISBLANK(I6), C6, MAX(C6, I6))</f>
        <v/>
      </c>
    </row>
    <row r="7" ht="20" customHeight="1">
      <c r="A7" s="21" t="n">
        <v>3</v>
      </c>
      <c r="B7" s="38" t="inlineStr">
        <is>
          <t>Castillo Morales, Elena</t>
        </is>
      </c>
      <c r="C7" s="49">
        <f>'Panel de Control'!N11</f>
        <v/>
      </c>
      <c r="D7" s="20" t="inlineStr">
        <is>
          <t>SoftAndalucía Dev Group</t>
        </is>
      </c>
      <c r="E7" s="20" t="inlineStr">
        <is>
          <t>Dra. Beatriz Cano</t>
        </is>
      </c>
      <c r="F7" s="21" t="n">
        <v>86</v>
      </c>
      <c r="G7" s="18">
        <f>IF(C7&gt;=5, "APTO", "PENDIENTE")</f>
        <v/>
      </c>
      <c r="H7" s="21">
        <f>IF(C7&lt;5, "RA1, RA3", "Ninguno")</f>
        <v/>
      </c>
      <c r="I7" s="39" t="inlineStr"/>
      <c r="J7" s="61">
        <f>IF(ISBLANK(I7), C7, MAX(C7, I7))</f>
        <v/>
      </c>
    </row>
    <row r="8" ht="20" customHeight="1">
      <c r="A8" s="13" t="n">
        <v>4</v>
      </c>
      <c r="B8" s="34" t="inlineStr">
        <is>
          <t>Delgado Santos, Alejandro</t>
        </is>
      </c>
      <c r="C8" s="49">
        <f>'Panel de Control'!N12</f>
        <v/>
      </c>
      <c r="D8" s="12" t="inlineStr">
        <is>
          <t>Innovatech Solutions S.L.</t>
        </is>
      </c>
      <c r="E8" s="12" t="inlineStr">
        <is>
          <t>Ing. Manuel Rivas</t>
        </is>
      </c>
      <c r="F8" s="13" t="n">
        <v>86</v>
      </c>
      <c r="G8" s="10">
        <f>IF(C8&gt;=5, "APTO", "PENDIENTE")</f>
        <v/>
      </c>
      <c r="H8" s="13">
        <f>IF(C8&lt;5, "RA1, RA3", "Ninguno")</f>
        <v/>
      </c>
      <c r="I8" s="35" t="inlineStr"/>
      <c r="J8" s="61">
        <f>IF(ISBLANK(I8), C8, MAX(C8, I8))</f>
        <v/>
      </c>
    </row>
    <row r="9" ht="20" customHeight="1">
      <c r="A9" s="21" t="n">
        <v>5</v>
      </c>
      <c r="B9" s="38" t="inlineStr">
        <is>
          <t>Fernández Navarro, Lucía</t>
        </is>
      </c>
      <c r="C9" s="49">
        <f>'Panel de Control'!N13</f>
        <v/>
      </c>
      <c r="D9" s="20" t="inlineStr">
        <is>
          <t>SoftAndalucía Dev Group</t>
        </is>
      </c>
      <c r="E9" s="20" t="inlineStr">
        <is>
          <t>Dra. Beatriz Cano</t>
        </is>
      </c>
      <c r="F9" s="21" t="n">
        <v>86</v>
      </c>
      <c r="G9" s="18">
        <f>IF(C9&gt;=5, "APTO", "PENDIENTE")</f>
        <v/>
      </c>
      <c r="H9" s="21">
        <f>IF(C9&lt;5, "RA1, RA3", "Ninguno")</f>
        <v/>
      </c>
      <c r="I9" s="39" t="inlineStr"/>
      <c r="J9" s="61">
        <f>IF(ISBLANK(I9), C9, MAX(C9, I9))</f>
        <v/>
      </c>
    </row>
    <row r="10" ht="20" customHeight="1">
      <c r="A10" s="13" t="n">
        <v>6</v>
      </c>
      <c r="B10" s="34" t="inlineStr">
        <is>
          <t>García Serrano, David</t>
        </is>
      </c>
      <c r="C10" s="49">
        <f>'Panel de Control'!N14</f>
        <v/>
      </c>
      <c r="D10" s="12" t="inlineStr">
        <is>
          <t>Innovatech Solutions S.L.</t>
        </is>
      </c>
      <c r="E10" s="12" t="inlineStr">
        <is>
          <t>Ing. Manuel Rivas</t>
        </is>
      </c>
      <c r="F10" s="13" t="n">
        <v>86</v>
      </c>
      <c r="G10" s="10">
        <f>IF(C10&gt;=5, "APTO", "PENDIENTE")</f>
        <v/>
      </c>
      <c r="H10" s="13">
        <f>IF(C10&lt;5, "RA1, RA3", "Ninguno")</f>
        <v/>
      </c>
      <c r="I10" s="35" t="inlineStr"/>
      <c r="J10" s="61">
        <f>IF(ISBLANK(I10), C10, MAX(C10, I10))</f>
        <v/>
      </c>
    </row>
    <row r="11" ht="20" customHeight="1">
      <c r="A11" s="21" t="n">
        <v>7</v>
      </c>
      <c r="B11" s="38" t="inlineStr">
        <is>
          <t>Herrera Cruz, Marta</t>
        </is>
      </c>
      <c r="C11" s="49">
        <f>'Panel de Control'!N15</f>
        <v/>
      </c>
      <c r="D11" s="20" t="inlineStr">
        <is>
          <t>SoftAndalucía Dev Group</t>
        </is>
      </c>
      <c r="E11" s="20" t="inlineStr">
        <is>
          <t>Dra. Beatriz Cano</t>
        </is>
      </c>
      <c r="F11" s="21" t="n">
        <v>86</v>
      </c>
      <c r="G11" s="18">
        <f>IF(C11&gt;=5, "APTO", "PENDIENTE")</f>
        <v/>
      </c>
      <c r="H11" s="21">
        <f>IF(C11&lt;5, "RA1, RA3", "Ninguno")</f>
        <v/>
      </c>
      <c r="I11" s="39" t="inlineStr"/>
      <c r="J11" s="61">
        <f>IF(ISBLANK(I11), C11, MAX(C11, I11))</f>
        <v/>
      </c>
    </row>
    <row r="12" ht="20" customHeight="1">
      <c r="A12" s="13" t="n">
        <v>8</v>
      </c>
      <c r="B12" s="34" t="inlineStr">
        <is>
          <t>Jiménez Ortiz, Pablo</t>
        </is>
      </c>
      <c r="C12" s="49">
        <f>'Panel de Control'!N16</f>
        <v/>
      </c>
      <c r="D12" s="12" t="inlineStr">
        <is>
          <t>Innovatech Solutions S.L.</t>
        </is>
      </c>
      <c r="E12" s="12" t="inlineStr">
        <is>
          <t>Ing. Manuel Rivas</t>
        </is>
      </c>
      <c r="F12" s="13" t="n">
        <v>86</v>
      </c>
      <c r="G12" s="10">
        <f>IF(C12&gt;=5, "APTO", "PENDIENTE")</f>
        <v/>
      </c>
      <c r="H12" s="13">
        <f>IF(C12&lt;5, "RA1, RA3", "Ninguno")</f>
        <v/>
      </c>
      <c r="I12" s="35" t="inlineStr"/>
      <c r="J12" s="61">
        <f>IF(ISBLANK(I12), C12, MAX(C12, I12))</f>
        <v/>
      </c>
    </row>
    <row r="13" ht="20" customHeight="1">
      <c r="A13" s="21" t="n">
        <v>9</v>
      </c>
      <c r="B13" s="38" t="inlineStr">
        <is>
          <t>López Molina, Sara</t>
        </is>
      </c>
      <c r="C13" s="49">
        <f>'Panel de Control'!N17</f>
        <v/>
      </c>
      <c r="D13" s="20" t="inlineStr">
        <is>
          <t>SoftAndalucía Dev Group</t>
        </is>
      </c>
      <c r="E13" s="20" t="inlineStr">
        <is>
          <t>Dra. Beatriz Cano</t>
        </is>
      </c>
      <c r="F13" s="21" t="n">
        <v>86</v>
      </c>
      <c r="G13" s="18">
        <f>IF(C13&gt;=5, "APTO", "PENDIENTE")</f>
        <v/>
      </c>
      <c r="H13" s="21">
        <f>IF(C13&lt;5, "RA1, RA3", "Ninguno")</f>
        <v/>
      </c>
      <c r="I13" s="39" t="inlineStr"/>
      <c r="J13" s="61">
        <f>IF(ISBLANK(I13), C13, MAX(C13, I13))</f>
        <v/>
      </c>
    </row>
    <row r="14" ht="20" customHeight="1">
      <c r="A14" s="13" t="n">
        <v>10</v>
      </c>
      <c r="B14" s="34" t="inlineStr">
        <is>
          <t>Martín Vega, Javier</t>
        </is>
      </c>
      <c r="C14" s="49">
        <f>'Panel de Control'!N18</f>
        <v/>
      </c>
      <c r="D14" s="12" t="inlineStr">
        <is>
          <t>Innovatech Solutions S.L.</t>
        </is>
      </c>
      <c r="E14" s="12" t="inlineStr">
        <is>
          <t>Ing. Manuel Rivas</t>
        </is>
      </c>
      <c r="F14" s="13" t="n">
        <v>86</v>
      </c>
      <c r="G14" s="10">
        <f>IF(C14&gt;=5, "APTO", "PENDIENTE")</f>
        <v/>
      </c>
      <c r="H14" s="13">
        <f>IF(C14&lt;5, "RA1, RA3", "Ninguno")</f>
        <v/>
      </c>
      <c r="I14" s="35" t="inlineStr"/>
      <c r="J14" s="61">
        <f>IF(ISBLANK(I14), C14, MAX(C14, I14))</f>
        <v/>
      </c>
    </row>
    <row r="15" ht="20" customHeight="1">
      <c r="A15" s="21" t="n">
        <v>11</v>
      </c>
      <c r="B15" s="38" t="inlineStr">
        <is>
          <t>Navarro Gil, Ana</t>
        </is>
      </c>
      <c r="C15" s="49">
        <f>'Panel de Control'!N19</f>
        <v/>
      </c>
      <c r="D15" s="20" t="inlineStr">
        <is>
          <t>SoftAndalucía Dev Group</t>
        </is>
      </c>
      <c r="E15" s="20" t="inlineStr">
        <is>
          <t>Dra. Beatriz Cano</t>
        </is>
      </c>
      <c r="F15" s="21" t="n">
        <v>86</v>
      </c>
      <c r="G15" s="18">
        <f>IF(C15&gt;=5, "APTO", "PENDIENTE")</f>
        <v/>
      </c>
      <c r="H15" s="21">
        <f>IF(C15&lt;5, "RA1, RA3", "Ninguno")</f>
        <v/>
      </c>
      <c r="I15" s="39" t="inlineStr"/>
      <c r="J15" s="61">
        <f>IF(ISBLANK(I15), C15, MAX(C15, I15))</f>
        <v/>
      </c>
    </row>
    <row r="16" ht="20" customHeight="1">
      <c r="A16" s="13" t="n">
        <v>12</v>
      </c>
      <c r="B16" s="34" t="inlineStr">
        <is>
          <t>Pérez Rubio, Álvaro</t>
        </is>
      </c>
      <c r="C16" s="49">
        <f>'Panel de Control'!N20</f>
        <v/>
      </c>
      <c r="D16" s="12" t="inlineStr">
        <is>
          <t>Innovatech Solutions S.L.</t>
        </is>
      </c>
      <c r="E16" s="12" t="inlineStr">
        <is>
          <t>Ing. Manuel Rivas</t>
        </is>
      </c>
      <c r="F16" s="13" t="n">
        <v>86</v>
      </c>
      <c r="G16" s="10">
        <f>IF(C16&gt;=5, "APTO", "PENDIENTE")</f>
        <v/>
      </c>
      <c r="H16" s="13">
        <f>IF(C16&lt;5, "RA1, RA3", "Ninguno")</f>
        <v/>
      </c>
      <c r="I16" s="35" t="inlineStr"/>
      <c r="J16" s="61">
        <f>IF(ISBLANK(I16), C16, MAX(C16, I16))</f>
        <v/>
      </c>
    </row>
    <row r="17" ht="20" customHeight="1">
      <c r="A17" s="21" t="n">
        <v>13</v>
      </c>
      <c r="B17" s="38" t="inlineStr">
        <is>
          <t>Ramírez Soto, Carmen</t>
        </is>
      </c>
      <c r="C17" s="49">
        <f>'Panel de Control'!N21</f>
        <v/>
      </c>
      <c r="D17" s="20" t="inlineStr">
        <is>
          <t>SoftAndalucía Dev Group</t>
        </is>
      </c>
      <c r="E17" s="20" t="inlineStr">
        <is>
          <t>Dra. Beatriz Cano</t>
        </is>
      </c>
      <c r="F17" s="21" t="n">
        <v>86</v>
      </c>
      <c r="G17" s="18">
        <f>IF(C17&gt;=5, "APTO", "PENDIENTE")</f>
        <v/>
      </c>
      <c r="H17" s="21">
        <f>IF(C17&lt;5, "RA1, RA3", "Ninguno")</f>
        <v/>
      </c>
      <c r="I17" s="39" t="inlineStr"/>
      <c r="J17" s="61">
        <f>IF(ISBLANK(I17), C17, MAX(C17, I17))</f>
        <v/>
      </c>
    </row>
    <row r="18" ht="20" customHeight="1">
      <c r="A18" s="13" t="n">
        <v>14</v>
      </c>
      <c r="B18" s="34" t="inlineStr">
        <is>
          <t>Sánchez Vidal, Daniel</t>
        </is>
      </c>
      <c r="C18" s="49">
        <f>'Panel de Control'!N22</f>
        <v/>
      </c>
      <c r="D18" s="12" t="inlineStr">
        <is>
          <t>Innovatech Solutions S.L.</t>
        </is>
      </c>
      <c r="E18" s="12" t="inlineStr">
        <is>
          <t>Ing. Manuel Rivas</t>
        </is>
      </c>
      <c r="F18" s="13" t="n">
        <v>86</v>
      </c>
      <c r="G18" s="10">
        <f>IF(C18&gt;=5, "APTO", "PENDIENTE")</f>
        <v/>
      </c>
      <c r="H18" s="13">
        <f>IF(C18&lt;5, "RA1, RA3", "Ninguno")</f>
        <v/>
      </c>
      <c r="I18" s="35" t="inlineStr"/>
      <c r="J18" s="61">
        <f>IF(ISBLANK(I18), C18, MAX(C18, I18))</f>
        <v/>
      </c>
    </row>
    <row r="19" ht="20" customHeight="1">
      <c r="A19" s="21" t="n">
        <v>15</v>
      </c>
      <c r="B19" s="38" t="inlineStr">
        <is>
          <t>Torres Lozano, Irene</t>
        </is>
      </c>
      <c r="C19" s="49">
        <f>'Panel de Control'!N23</f>
        <v/>
      </c>
      <c r="D19" s="20" t="inlineStr">
        <is>
          <t>SoftAndalucía Dev Group</t>
        </is>
      </c>
      <c r="E19" s="20" t="inlineStr">
        <is>
          <t>Dra. Beatriz Cano</t>
        </is>
      </c>
      <c r="F19" s="21" t="n">
        <v>86</v>
      </c>
      <c r="G19" s="18">
        <f>IF(C19&gt;=5, "APTO", "PENDIENTE")</f>
        <v/>
      </c>
      <c r="H19" s="21">
        <f>IF(C19&lt;5, "RA1, RA3", "Ninguno")</f>
        <v/>
      </c>
      <c r="I19" s="39" t="inlineStr"/>
      <c r="J19" s="61">
        <f>IF(ISBLANK(I19), C19, MAX(C19, I19))</f>
        <v/>
      </c>
    </row>
  </sheetData>
  <mergeCells count="2">
    <mergeCell ref="A1:J1"/>
    <mergeCell ref="A2:J2"/>
  </mergeCells>
  <conditionalFormatting sqref="J5:J19">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6" customWidth="1" min="1" max="1"/>
    <col width="85" customWidth="1" min="2" max="2"/>
    <col width="12" customWidth="1" min="3" max="3"/>
    <col width="12" customWidth="1" min="4" max="4"/>
    <col width="12" customWidth="1" min="5" max="5"/>
    <col width="12" customWidth="1" min="6" max="6"/>
    <col width="12" customWidth="1" min="7" max="7"/>
  </cols>
  <sheetData>
    <row r="1" ht="36" customHeight="1">
      <c r="A1" s="1" t="inlineStr">
        <is>
          <t>GUÍA DE USO Y ARQUITECTURA DEL SISTEMA DE EVALUACIÓN</t>
        </is>
      </c>
    </row>
    <row r="3" ht="26" customHeight="1">
      <c r="B3" s="62" t="inlineStr">
        <is>
          <t>1. Filosofía y Funcionamiento Dinámico</t>
        </is>
      </c>
    </row>
    <row r="4" ht="108" customHeight="1">
      <c r="B4" s="63" t="inlineStr">
        <is>
          <t>Esta hoja de cálculo implementa un motor de evaluación competencial bidireccional completamente automatizado:
• La 'Matriz Criterios' contiene los 40 Criterios de Evaluación oficiales agrupados en los 8 Resultados de Aprendizaje.
• En cualquier momento del curso puedes marcar o desmarcar con una 'X' qué criterios evalúa cada tarea o examen.
• En la FILA 47 se calcula automáticamente la SUMA EXACTA DE LOS PESOS de los criterios marcados con 'X' para esa tarea.
• En la FILA 48 se calcula el % DE PONDERACIÓN EN EL TRIMESTRE, normalizado a 100% (para que el boletín de notas trimestral sume 100%).
• El motor recalcula en tiempo real las notas individuales de cada criterio, el avance de cada RA y las notas trimestrales y finales.</t>
        </is>
      </c>
    </row>
    <row r="6" ht="26" customHeight="1">
      <c r="B6" s="62" t="inlineStr">
        <is>
          <t>2. Flujo de Trabajo para el Docente</t>
        </is>
      </c>
    </row>
    <row r="7" ht="234" customHeight="1">
      <c r="B7" s="63" t="inlineStr">
        <is>
          <t>PASO 1: Configurar la Matriz Criterios
Revisa las columnas H a V (tareas T01 a T15). Coloca una 'X' en la fila del criterio que evalúe dicha tarea.
La fila 46 te indica cuántos criterios evalúa cada tarea.
La fila 47 calcula dinámicamente la suma directa de los pesos de dichos criterios sobre el total del módulo.
La fila 48 rebalancea automáticamente los porcentajes dentro de cada trimestre sumando exactamente el 100%.
PASO 2: Introducir Calificaciones en 'Registro Notas'
Introduce las notas (0.00 a 10.00) obtenidas por los alumnos en cada tarea (columnas D a R).
Las notas de 1º y 2º Trimestre se calculan automáticamente en las columnas S y T a partir de los pesos derivados de los criterios.
PASO 3: Supervisar el 'Panel de Control'
Observa las tarjetas de KPIs (Alumnos, Aprobados, Suspensos, Nota Media, Tasa de Éxito) y la tabla consolidada
con la calificación oficial en marzo y la autorización automática para la estancia Dual en empresa.</t>
        </is>
      </c>
    </row>
    <row r="9" ht="26" customHeight="1">
      <c r="B9" s="62" t="inlineStr">
        <is>
          <t>3. Robustez Matemática (Sin Ceros Prematuros)</t>
        </is>
      </c>
    </row>
    <row r="10" ht="72" customHeight="1">
      <c r="B10" s="63" t="inlineStr">
        <is>
          <t>La fórmula implementada en cada criterio utiliza la función ISNUMBER combinada con SUMPRODUCT:
Solo se promedian aquellas tareas que tienen una 'X' Y QUE ADEMÁS TIENEN NOTA INTRODUCIDA.
Esto evita que un alumno aparezca con una nota suspensa en un criterio a principio de curso simplemente
porque las tareas del segundo trimestre todavía no se han impartido o calificado.</t>
        </is>
      </c>
    </row>
    <row r="12" ht="26" customHeight="1">
      <c r="B12" s="62" t="inlineStr">
        <is>
          <t>4. Marco Normativo Integrado</t>
        </is>
      </c>
    </row>
    <row r="13" ht="90" customHeight="1">
      <c r="B13" s="63" t="inlineStr">
        <is>
          <t>• Ley Orgánica 3/2022 y Real Decreto 659/2023 (Ordenación del Sistema de Formación Profesional).
• Real Decreto 405/2023 y Real Decreto 500/2024 (Currículo oficial y competencias de DAM).
• Decreto 104/2024 (Ordenación de FP en Andalucía, derogando el Decreto 436/2008).
• Orden de 18 de septiembre de 2025 (Evaluación y acreditación del alumnado de FP en Andalucía).
• Orden de 26 de septiembre de 2025 (Regulación de la formación dual y estancias en empresa en Andalucía).</t>
        </is>
      </c>
    </row>
  </sheetData>
  <mergeCells count="9">
    <mergeCell ref="B3:G3"/>
    <mergeCell ref="B10:G10"/>
    <mergeCell ref="A1:G1"/>
    <mergeCell ref="B9:G9"/>
    <mergeCell ref="B4:G4"/>
    <mergeCell ref="B12:G12"/>
    <mergeCell ref="B13:G13"/>
    <mergeCell ref="B7:G7"/>
    <mergeCell ref="B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2026-10-04T15:50:04Z</dcterms:created>
  <dcterms:modified xmlns:dcterms="http://purl.org/dc/terms/" xmlns:xsi="http://www.w3.org/2001/XMLSchema-instance" xsi:type="dcterms:W3CDTF">2026-10-04T15:50:04Z</dcterms:modified>
</cp:coreProperties>
</file>