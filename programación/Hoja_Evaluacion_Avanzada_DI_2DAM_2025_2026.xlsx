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Criterios" sheetId="1" state="visible" r:id="rId1"/>
    <sheet xmlns:r="http://schemas.openxmlformats.org/officeDocument/2006/relationships" name="Registro Notas" sheetId="2" state="visible" r:id="rId2"/>
    <sheet xmlns:r="http://schemas.openxmlformats.org/officeDocument/2006/relationships" name="Calculo CEs" sheetId="3" state="visible" r:id="rId3"/>
    <sheet xmlns:r="http://schemas.openxmlformats.org/officeDocument/2006/relationships" name="Calculo RAs" sheetId="4" state="visible" r:id="rId4"/>
    <sheet xmlns:r="http://schemas.openxmlformats.org/officeDocument/2006/relationships" name="Panel de Control" sheetId="5" state="visible" r:id="rId5"/>
    <sheet xmlns:r="http://schemas.openxmlformats.org/officeDocument/2006/relationships" name="Seguimiento Dual y Extraord" sheetId="6" state="visible" r:id="rId6"/>
    <sheet xmlns:r="http://schemas.openxmlformats.org/officeDocument/2006/relationships" name="Guía de Funcionami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8A"/>
      <sz val="10"/>
    </font>
    <font>
      <name val="Segoe UI"/>
      <b val="1"/>
      <color rgb="000F172A"/>
      <sz val="9"/>
    </font>
    <font>
      <name val="Segoe UI"/>
      <b val="1"/>
      <color rgb="001E3A8A"/>
      <sz val="9"/>
    </font>
    <font>
      <name val="Segoe UI"/>
      <b val="1"/>
      <color rgb="000F172A"/>
      <sz val="10"/>
    </font>
    <font>
      <name val="Segoe UI"/>
      <b val="1"/>
      <color rgb="0064748B"/>
      <sz val="8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DC2626"/>
      <sz val="16"/>
    </font>
    <font>
      <name val="Segoe UI"/>
      <b val="1"/>
      <color rgb="001E3A8A"/>
      <sz val="16"/>
    </font>
    <font>
      <name val="Segoe UI"/>
      <b val="1"/>
      <color rgb="001E3A8A"/>
      <sz val="11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D4ED8"/>
        <bgColor rgb="001D4ED8"/>
      </patternFill>
    </fill>
    <fill>
      <patternFill patternType="solid">
        <fgColor rgb="000F766E"/>
        <bgColor rgb="000F766E"/>
      </patternFill>
    </fill>
    <fill>
      <patternFill patternType="solid">
        <fgColor rgb="006B21A8"/>
        <bgColor rgb="006B21A8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CCFBF1"/>
        <bgColor rgb="00CCFBF1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15803D"/>
        <bgColor rgb="0015803D"/>
      </patternFill>
    </fill>
    <fill>
      <patternFill patternType="solid">
        <fgColor rgb="00C2410C"/>
        <bgColor rgb="00C2410C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EFF6FF"/>
        <bgColor rgb="00EFF6FF"/>
      </patternFill>
    </fill>
    <fill>
      <patternFill patternType="solid">
        <fgColor rgb="00F0FDFA"/>
        <bgColor rgb="00F0FDFA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64748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10" fontId="5" fillId="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10" fontId="5" fillId="0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right" vertical="center"/>
    </xf>
    <xf numFmtId="0" fontId="4" fillId="8" borderId="3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right" vertical="center"/>
    </xf>
    <xf numFmtId="164" fontId="8" fillId="1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/>
    </xf>
    <xf numFmtId="2" fontId="5" fillId="7" borderId="2" applyAlignment="1" pivotButton="0" quotePrefix="0" xfId="0">
      <alignment horizontal="center" vertical="center" wrapText="1"/>
    </xf>
    <xf numFmtId="2" fontId="4" fillId="9" borderId="2" applyAlignment="1" pivotButton="0" quotePrefix="0" xfId="0">
      <alignment horizontal="center" vertical="center" wrapText="1"/>
    </xf>
    <xf numFmtId="2" fontId="4" fillId="1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2" fontId="5" fillId="0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2" fontId="4" fillId="8" borderId="3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2" fontId="4" fillId="8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2" fontId="9" fillId="8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 wrapText="1"/>
    </xf>
    <xf numFmtId="2" fontId="11" fillId="8" borderId="0" applyAlignment="1" pivotButton="0" quotePrefix="0" xfId="0">
      <alignment horizontal="center" vertical="center" wrapText="1"/>
    </xf>
    <xf numFmtId="164" fontId="14" fillId="16" borderId="0" applyAlignment="1" pivotButton="0" quotePrefix="0" xfId="0">
      <alignment horizontal="center" vertical="center" wrapText="1"/>
    </xf>
    <xf numFmtId="2" fontId="4" fillId="17" borderId="2" applyAlignment="1" pivotButton="0" quotePrefix="0" xfId="0">
      <alignment horizontal="center" vertical="center" wrapText="1"/>
    </xf>
    <xf numFmtId="2" fontId="4" fillId="18" borderId="2" applyAlignment="1" pivotButton="0" quotePrefix="0" xfId="0">
      <alignment horizontal="center" vertical="center" wrapText="1"/>
    </xf>
    <xf numFmtId="0" fontId="0" fillId="8" borderId="3" pivotButton="0" quotePrefix="0" xfId="0"/>
    <xf numFmtId="2" fontId="4" fillId="11" borderId="2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15803D"/>
      </font>
      <fill>
        <patternFill patternType="solid">
          <fgColor rgb="00DCFCE7"/>
          <bgColor rgb="00DCFCE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1D4ED8"/>
      </font>
      <fill>
        <patternFill patternType="solid">
          <fgColor rgb="00DBEAFE"/>
          <b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44" customWidth="1" min="4" max="4"/>
    <col width="14" customWidth="1" min="5" max="5"/>
    <col width="8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36" customHeight="1">
      <c r="A1" s="1" t="inlineStr">
        <is>
          <t>MATRIZ DE SELECCIÓN DE CRITERIOS DE EVALUACIÓN POR TAREA — DESARROLLO DE INTERFACES (2º DAM)</t>
        </is>
      </c>
    </row>
    <row r="2" ht="20" customHeight="1">
      <c r="A2" s="2" t="inlineStr">
        <is>
          <t>Marca con una 'X' en la casilla correspondiente para activar los criterios evaluados en cada tarea. Los porcentajes y notas se recalcularán automáticamente.</t>
        </is>
      </c>
    </row>
    <row r="4">
      <c r="A4" s="3" t="inlineStr">
        <is>
          <t>CRITERIOS OFICIALES DE EVALUACIÓN (DECRETO 104/2024 &amp; RD 405/2023)</t>
        </is>
      </c>
      <c r="H4" s="4" t="inlineStr">
        <is>
          <t>1er TRIMESTRE (T1) — TAREAS Y PRUEBAS</t>
        </is>
      </c>
      <c r="O4" s="5" t="inlineStr">
        <is>
          <t>2º TRIMESTRE (T2) — TAREAS, PRUEBAS Y PROYECTO</t>
        </is>
      </c>
      <c r="W4" s="6" t="inlineStr">
        <is>
          <t>Pond. CE
Global</t>
        </is>
      </c>
    </row>
    <row r="5" ht="36" customHeight="1">
      <c r="A5" s="7" t="inlineStr">
        <is>
          <t>RA</t>
        </is>
      </c>
      <c r="B5" s="7" t="inlineStr">
        <is>
          <t>Peso RA</t>
        </is>
      </c>
      <c r="C5" s="7" t="inlineStr">
        <is>
          <t>Código CE</t>
        </is>
      </c>
      <c r="D5" s="7" t="inlineStr">
        <is>
          <t>Descripción Oficial del Criterio de Evaluación</t>
        </is>
      </c>
      <c r="E5" s="7" t="inlineStr">
        <is>
          <t>UDs</t>
        </is>
      </c>
      <c r="F5" s="7" t="inlineStr">
        <is>
          <t>Total
Tareas</t>
        </is>
      </c>
      <c r="G5" s="7" t="inlineStr">
        <is>
          <t>Estado Cobertura</t>
        </is>
      </c>
      <c r="H5" s="8" t="inlineStr">
        <is>
          <t>T01
Figma &amp; UX</t>
        </is>
      </c>
      <c r="I5" s="8" t="inlineStr">
        <is>
          <t>T02
NUI &amp; Voz</t>
        </is>
      </c>
      <c r="J5" s="8" t="inlineStr">
        <is>
          <t>T03
Tailwind &amp; Grid</t>
        </is>
      </c>
      <c r="K5" s="8" t="inlineStr">
        <is>
          <t>T04
Accesibilidad</t>
        </is>
      </c>
      <c r="L5" s="8" t="inlineStr">
        <is>
          <t>T05
Angular Signals</t>
        </is>
      </c>
      <c r="M5" s="8" t="inlineStr">
        <is>
          <t>T06
Examen Práctico T1</t>
        </is>
      </c>
      <c r="N5" s="8" t="inlineStr">
        <is>
          <t>T07
Git &amp; Actitud T1</t>
        </is>
      </c>
      <c r="O5" s="9" t="inlineStr">
        <is>
          <t>T08
Formularios &amp; A11y</t>
        </is>
      </c>
      <c r="P5" s="9" t="inlineStr">
        <is>
          <t>T09
Storybook &amp; Design</t>
        </is>
      </c>
      <c r="Q5" s="9" t="inlineStr">
        <is>
          <t>T10
Informes &amp; Dashboards</t>
        </is>
      </c>
      <c r="R5" s="9" t="inlineStr">
        <is>
          <t>T11
Pruebas Vitest</t>
        </is>
      </c>
      <c r="S5" s="9" t="inlineStr">
        <is>
          <t>T12
Electron Desktop</t>
        </is>
      </c>
      <c r="T5" s="9" t="inlineStr">
        <is>
          <t>T13
Proyecto GesFlow</t>
        </is>
      </c>
      <c r="U5" s="9" t="inlineStr">
        <is>
          <t>T14
Examen Práctico T2</t>
        </is>
      </c>
      <c r="V5" s="9" t="inlineStr">
        <is>
          <t>T15
Git &amp; Despliegue T2</t>
        </is>
      </c>
    </row>
    <row r="6" ht="24" customHeight="1">
      <c r="A6" s="10" t="inlineStr">
        <is>
          <t>RA1</t>
        </is>
      </c>
      <c r="B6" s="11" t="n">
        <v>0.22</v>
      </c>
      <c r="C6" s="10" t="inlineStr">
        <is>
          <t>CE1.a</t>
        </is>
      </c>
      <c r="D6" s="12" t="inlineStr">
        <is>
          <t>Se han identificado los elementos que componen la interfaz gráfica.</t>
        </is>
      </c>
      <c r="E6" s="13" t="inlineStr">
        <is>
          <t>UD00, UD01</t>
        </is>
      </c>
      <c r="F6" s="14">
        <f>COUNTIF(H6:V6, "X")</f>
        <v/>
      </c>
      <c r="G6" s="10">
        <f>IF(F6&gt;0, "EVALUADO", "SIN EVALUAR")</f>
        <v/>
      </c>
      <c r="H6" s="15" t="inlineStr">
        <is>
          <t>X</t>
        </is>
      </c>
      <c r="I6" s="13" t="inlineStr"/>
      <c r="J6" s="13" t="inlineStr"/>
      <c r="K6" s="13" t="inlineStr"/>
      <c r="L6" s="13" t="inlineStr"/>
      <c r="M6" s="15" t="inlineStr">
        <is>
          <t>X</t>
        </is>
      </c>
      <c r="N6" s="13" t="inlineStr"/>
      <c r="O6" s="13" t="inlineStr"/>
      <c r="P6" s="13" t="inlineStr"/>
      <c r="Q6" s="13" t="inlineStr"/>
      <c r="R6" s="13" t="inlineStr"/>
      <c r="S6" s="13" t="inlineStr"/>
      <c r="T6" s="16" t="inlineStr">
        <is>
          <t>X</t>
        </is>
      </c>
      <c r="U6" s="13" t="inlineStr"/>
      <c r="V6" s="13" t="inlineStr"/>
      <c r="W6" s="17">
        <f>B6 / COUNTIF(A$6:A$45, A6)</f>
        <v/>
      </c>
    </row>
    <row r="7" ht="24" customHeight="1">
      <c r="A7" s="18" t="inlineStr">
        <is>
          <t>RA1</t>
        </is>
      </c>
      <c r="B7" s="19" t="n">
        <v>0.22</v>
      </c>
      <c r="C7" s="18" t="inlineStr">
        <is>
          <t>CE1.b</t>
        </is>
      </c>
      <c r="D7" s="20" t="inlineStr">
        <is>
          <t>Se han analizado los principios de usabilidad y diseño centrado en el usuario (UX).</t>
        </is>
      </c>
      <c r="E7" s="21" t="inlineStr">
        <is>
          <t>UD01</t>
        </is>
      </c>
      <c r="F7" s="14">
        <f>COUNTIF(H7:V7, "X")</f>
        <v/>
      </c>
      <c r="G7" s="18">
        <f>IF(F7&gt;0, "EVALUADO", "SIN EVALUAR")</f>
        <v/>
      </c>
      <c r="H7" s="15" t="inlineStr">
        <is>
          <t>X</t>
        </is>
      </c>
      <c r="I7" s="21" t="inlineStr"/>
      <c r="J7" s="21" t="inlineStr"/>
      <c r="K7" s="21" t="inlineStr"/>
      <c r="L7" s="21" t="inlineStr"/>
      <c r="M7" s="15" t="inlineStr">
        <is>
          <t>X</t>
        </is>
      </c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2">
        <f>B7 / COUNTIF(A$6:A$45, A7)</f>
        <v/>
      </c>
    </row>
    <row r="8" ht="24" customHeight="1">
      <c r="A8" s="10" t="inlineStr">
        <is>
          <t>RA1</t>
        </is>
      </c>
      <c r="B8" s="11" t="n">
        <v>0.22</v>
      </c>
      <c r="C8" s="10" t="inlineStr">
        <is>
          <t>CE1.c</t>
        </is>
      </c>
      <c r="D8" s="12" t="inlineStr">
        <is>
          <t>Se han elaborado bocetos, wireframes y prototipos interactivos en alta fidelidad (Figma).</t>
        </is>
      </c>
      <c r="E8" s="13" t="inlineStr">
        <is>
          <t>UD04</t>
        </is>
      </c>
      <c r="F8" s="14">
        <f>COUNTIF(H8:V8, "X")</f>
        <v/>
      </c>
      <c r="G8" s="10">
        <f>IF(F8&gt;0, "EVALUADO", "SIN EVALUAR")</f>
        <v/>
      </c>
      <c r="H8" s="15" t="inlineStr">
        <is>
          <t>X</t>
        </is>
      </c>
      <c r="I8" s="13" t="inlineStr"/>
      <c r="J8" s="13" t="inlineStr"/>
      <c r="K8" s="13" t="inlineStr"/>
      <c r="L8" s="13" t="inlineStr"/>
      <c r="M8" s="15" t="inlineStr">
        <is>
          <t>X</t>
        </is>
      </c>
      <c r="N8" s="13" t="inlineStr"/>
      <c r="O8" s="13" t="inlineStr"/>
      <c r="P8" s="16" t="inlineStr">
        <is>
          <t>X</t>
        </is>
      </c>
      <c r="Q8" s="13" t="inlineStr"/>
      <c r="R8" s="13" t="inlineStr"/>
      <c r="S8" s="13" t="inlineStr"/>
      <c r="T8" s="16" t="inlineStr">
        <is>
          <t>X</t>
        </is>
      </c>
      <c r="U8" s="13" t="inlineStr"/>
      <c r="V8" s="13" t="inlineStr"/>
      <c r="W8" s="17">
        <f>B8 / COUNTIF(A$6:A$45, A8)</f>
        <v/>
      </c>
    </row>
    <row r="9" ht="24" customHeight="1">
      <c r="A9" s="18" t="inlineStr">
        <is>
          <t>RA1</t>
        </is>
      </c>
      <c r="B9" s="19" t="n">
        <v>0.22</v>
      </c>
      <c r="C9" s="18" t="inlineStr">
        <is>
          <t>CE1.d</t>
        </is>
      </c>
      <c r="D9" s="20" t="inlineStr">
        <is>
          <t>Se han aplicado guías de estilo, tipografías, colores, espaciados y sistemas de diseño.</t>
        </is>
      </c>
      <c r="E9" s="21" t="inlineStr">
        <is>
          <t>UD07, UD13</t>
        </is>
      </c>
      <c r="F9" s="14">
        <f>COUNTIF(H9:V9, "X")</f>
        <v/>
      </c>
      <c r="G9" s="18">
        <f>IF(F9&gt;0, "EVALUADO", "SIN EVALUAR")</f>
        <v/>
      </c>
      <c r="H9" s="15" t="inlineStr">
        <is>
          <t>X</t>
        </is>
      </c>
      <c r="I9" s="21" t="inlineStr"/>
      <c r="J9" s="15" t="inlineStr">
        <is>
          <t>X</t>
        </is>
      </c>
      <c r="K9" s="21" t="inlineStr"/>
      <c r="L9" s="21" t="inlineStr"/>
      <c r="M9" s="21" t="inlineStr"/>
      <c r="N9" s="21" t="inlineStr"/>
      <c r="O9" s="21" t="inlineStr"/>
      <c r="P9" s="16" t="inlineStr">
        <is>
          <t>X</t>
        </is>
      </c>
      <c r="Q9" s="21" t="inlineStr"/>
      <c r="R9" s="21" t="inlineStr"/>
      <c r="S9" s="21" t="inlineStr"/>
      <c r="T9" s="16" t="inlineStr">
        <is>
          <t>X</t>
        </is>
      </c>
      <c r="U9" s="21" t="inlineStr"/>
      <c r="V9" s="21" t="inlineStr"/>
      <c r="W9" s="22">
        <f>B9 / COUNTIF(A$6:A$45, A9)</f>
        <v/>
      </c>
    </row>
    <row r="10" ht="24" customHeight="1">
      <c r="A10" s="10" t="inlineStr">
        <is>
          <t>RA1</t>
        </is>
      </c>
      <c r="B10" s="11" t="n">
        <v>0.22</v>
      </c>
      <c r="C10" s="10" t="inlineStr">
        <is>
          <t>CE1.e</t>
        </is>
      </c>
      <c r="D10" s="12" t="inlineStr">
        <is>
          <t>Se han diseñado layouts modernos y adaptables (CSS Grid, Flexbox, Tailwind CSS v4).</t>
        </is>
      </c>
      <c r="E10" s="13" t="inlineStr">
        <is>
          <t>UD05, UD06, UD08</t>
        </is>
      </c>
      <c r="F10" s="14">
        <f>COUNTIF(H10:V10, "X")</f>
        <v/>
      </c>
      <c r="G10" s="10">
        <f>IF(F10&gt;0, "EVALUADO", "SIN EVALUAR")</f>
        <v/>
      </c>
      <c r="H10" s="13" t="inlineStr"/>
      <c r="I10" s="13" t="inlineStr"/>
      <c r="J10" s="15" t="inlineStr">
        <is>
          <t>X</t>
        </is>
      </c>
      <c r="K10" s="13" t="inlineStr"/>
      <c r="L10" s="13" t="inlineStr"/>
      <c r="M10" s="15" t="inlineStr">
        <is>
          <t>X</t>
        </is>
      </c>
      <c r="N10" s="13" t="inlineStr"/>
      <c r="O10" s="13" t="inlineStr"/>
      <c r="P10" s="13" t="inlineStr"/>
      <c r="Q10" s="13" t="inlineStr"/>
      <c r="R10" s="13" t="inlineStr"/>
      <c r="S10" s="13" t="inlineStr"/>
      <c r="T10" s="16" t="inlineStr">
        <is>
          <t>X</t>
        </is>
      </c>
      <c r="U10" s="13" t="inlineStr"/>
      <c r="V10" s="13" t="inlineStr"/>
      <c r="W10" s="17">
        <f>B10 / COUNTIF(A$6:A$45, A10)</f>
        <v/>
      </c>
    </row>
    <row r="11" ht="24" customHeight="1">
      <c r="A11" s="18" t="inlineStr">
        <is>
          <t>RA1</t>
        </is>
      </c>
      <c r="B11" s="19" t="n">
        <v>0.22</v>
      </c>
      <c r="C11" s="18" t="inlineStr">
        <is>
          <t>CE1.f</t>
        </is>
      </c>
      <c r="D11" s="20" t="inlineStr">
        <is>
          <t>Se ha verificado la correcta interacción y flujo de navegación entre pantallas.</t>
        </is>
      </c>
      <c r="E11" s="21" t="inlineStr">
        <is>
          <t>UD04, UD15</t>
        </is>
      </c>
      <c r="F11" s="14">
        <f>COUNTIF(H11:V11, "X")</f>
        <v/>
      </c>
      <c r="G11" s="18">
        <f>IF(F11&gt;0, "EVALUADO", "SIN EVALUAR")</f>
        <v/>
      </c>
      <c r="H11" s="15" t="inlineStr">
        <is>
          <t>X</t>
        </is>
      </c>
      <c r="I11" s="21" t="inlineStr"/>
      <c r="J11" s="21" t="inlineStr"/>
      <c r="K11" s="21" t="inlineStr"/>
      <c r="L11" s="21" t="inlineStr"/>
      <c r="M11" s="15" t="inlineStr">
        <is>
          <t>X</t>
        </is>
      </c>
      <c r="N11" s="21" t="inlineStr"/>
      <c r="O11" s="21" t="inlineStr"/>
      <c r="P11" s="16" t="inlineStr">
        <is>
          <t>X</t>
        </is>
      </c>
      <c r="Q11" s="21" t="inlineStr"/>
      <c r="R11" s="21" t="inlineStr"/>
      <c r="S11" s="21" t="inlineStr"/>
      <c r="T11" s="16" t="inlineStr">
        <is>
          <t>X</t>
        </is>
      </c>
      <c r="U11" s="21" t="inlineStr"/>
      <c r="V11" s="21" t="inlineStr"/>
      <c r="W11" s="22">
        <f>B11 / COUNTIF(A$6:A$45, A11)</f>
        <v/>
      </c>
    </row>
    <row r="12" ht="24" customHeight="1">
      <c r="A12" s="10" t="inlineStr">
        <is>
          <t>RA2</t>
        </is>
      </c>
      <c r="B12" s="11" t="n">
        <v>0.16</v>
      </c>
      <c r="C12" s="10" t="inlineStr">
        <is>
          <t>CE2.a</t>
        </is>
      </c>
      <c r="D12" s="12" t="inlineStr">
        <is>
          <t>Se han identificado conceptos, arquitecturas y hardware de interfaces naturales (NUI).</t>
        </is>
      </c>
      <c r="E12" s="13" t="inlineStr">
        <is>
          <t>UD03</t>
        </is>
      </c>
      <c r="F12" s="14">
        <f>COUNTIF(H12:V12, "X")</f>
        <v/>
      </c>
      <c r="G12" s="10">
        <f>IF(F12&gt;0, "EVALUADO", "SIN EVALUAR")</f>
        <v/>
      </c>
      <c r="H12" s="13" t="inlineStr"/>
      <c r="I12" s="15" t="inlineStr">
        <is>
          <t>X</t>
        </is>
      </c>
      <c r="J12" s="13" t="inlineStr"/>
      <c r="K12" s="13" t="inlineStr"/>
      <c r="L12" s="13" t="inlineStr"/>
      <c r="M12" s="15" t="inlineStr">
        <is>
          <t>X</t>
        </is>
      </c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7">
        <f>B12 / COUNTIF(A$6:A$45, A12)</f>
        <v/>
      </c>
    </row>
    <row r="13" ht="24" customHeight="1">
      <c r="A13" s="18" t="inlineStr">
        <is>
          <t>RA2</t>
        </is>
      </c>
      <c r="B13" s="19" t="n">
        <v>0.16</v>
      </c>
      <c r="C13" s="18" t="inlineStr">
        <is>
          <t>CE2.b</t>
        </is>
      </c>
      <c r="D13" s="20" t="inlineStr">
        <is>
          <t>Se han integrado librerías y APIs de reconocimiento y síntesis de voz (Web Speech API).</t>
        </is>
      </c>
      <c r="E13" s="21" t="inlineStr">
        <is>
          <t>UD03</t>
        </is>
      </c>
      <c r="F13" s="14">
        <f>COUNTIF(H13:V13, "X")</f>
        <v/>
      </c>
      <c r="G13" s="18">
        <f>IF(F13&gt;0, "EVALUADO", "SIN EVALUAR")</f>
        <v/>
      </c>
      <c r="H13" s="21" t="inlineStr"/>
      <c r="I13" s="15" t="inlineStr">
        <is>
          <t>X</t>
        </is>
      </c>
      <c r="J13" s="21" t="inlineStr"/>
      <c r="K13" s="21" t="inlineStr"/>
      <c r="L13" s="21" t="inlineStr"/>
      <c r="M13" s="15" t="inlineStr">
        <is>
          <t>X</t>
        </is>
      </c>
      <c r="N13" s="21" t="inlineStr"/>
      <c r="O13" s="21" t="inlineStr"/>
      <c r="P13" s="21" t="inlineStr"/>
      <c r="Q13" s="21" t="inlineStr"/>
      <c r="R13" s="21" t="inlineStr"/>
      <c r="S13" s="21" t="inlineStr"/>
      <c r="T13" s="16" t="inlineStr">
        <is>
          <t>X</t>
        </is>
      </c>
      <c r="U13" s="21" t="inlineStr"/>
      <c r="V13" s="21" t="inlineStr"/>
      <c r="W13" s="22">
        <f>B13 / COUNTIF(A$6:A$45, A13)</f>
        <v/>
      </c>
    </row>
    <row r="14" ht="24" customHeight="1">
      <c r="A14" s="10" t="inlineStr">
        <is>
          <t>RA2</t>
        </is>
      </c>
      <c r="B14" s="11" t="n">
        <v>0.16</v>
      </c>
      <c r="C14" s="10" t="inlineStr">
        <is>
          <t>CE2.c</t>
        </is>
      </c>
      <c r="D14" s="12" t="inlineStr">
        <is>
          <t>Se han implementado controles basados en visión artificial y tracking de gestos/manos.</t>
        </is>
      </c>
      <c r="E14" s="13" t="inlineStr">
        <is>
          <t>UD03</t>
        </is>
      </c>
      <c r="F14" s="14">
        <f>COUNTIF(H14:V14, "X")</f>
        <v/>
      </c>
      <c r="G14" s="10">
        <f>IF(F14&gt;0, "EVALUADO", "SIN EVALUAR")</f>
        <v/>
      </c>
      <c r="H14" s="13" t="inlineStr"/>
      <c r="I14" s="15" t="inlineStr">
        <is>
          <t>X</t>
        </is>
      </c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7">
        <f>B14 / COUNTIF(A$6:A$45, A14)</f>
        <v/>
      </c>
    </row>
    <row r="15" ht="24" customHeight="1">
      <c r="A15" s="18" t="inlineStr">
        <is>
          <t>RA2</t>
        </is>
      </c>
      <c r="B15" s="19" t="n">
        <v>0.16</v>
      </c>
      <c r="C15" s="18" t="inlineStr">
        <is>
          <t>CE2.d</t>
        </is>
      </c>
      <c r="D15" s="20" t="inlineStr">
        <is>
          <t>Se han explorado patrones de realidad aumentada y experiencias inmersivas (WebXR/Three.js).</t>
        </is>
      </c>
      <c r="E15" s="21" t="inlineStr">
        <is>
          <t>UD03</t>
        </is>
      </c>
      <c r="F15" s="14">
        <f>COUNTIF(H15:V15, "X")</f>
        <v/>
      </c>
      <c r="G15" s="18">
        <f>IF(F15&gt;0, "EVALUADO", "SIN EVALUAR")</f>
        <v/>
      </c>
      <c r="H15" s="21" t="inlineStr"/>
      <c r="I15" s="15" t="inlineStr">
        <is>
          <t>X</t>
        </is>
      </c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2">
        <f>B15 / COUNTIF(A$6:A$45, A15)</f>
        <v/>
      </c>
    </row>
    <row r="16" ht="24" customHeight="1">
      <c r="A16" s="10" t="inlineStr">
        <is>
          <t>RA2</t>
        </is>
      </c>
      <c r="B16" s="11" t="n">
        <v>0.16</v>
      </c>
      <c r="C16" s="10" t="inlineStr">
        <is>
          <t>CE2.e</t>
        </is>
      </c>
      <c r="D16" s="12" t="inlineStr">
        <is>
          <t>Se han evaluado ventajas y barreras de accesibilidad de interfaces conversacionales y gestuales.</t>
        </is>
      </c>
      <c r="E16" s="13" t="inlineStr">
        <is>
          <t>UD03</t>
        </is>
      </c>
      <c r="F16" s="14">
        <f>COUNTIF(H16:V16, "X")</f>
        <v/>
      </c>
      <c r="G16" s="10">
        <f>IF(F16&gt;0, "EVALUADO", "SIN EVALUAR")</f>
        <v/>
      </c>
      <c r="H16" s="13" t="inlineStr"/>
      <c r="I16" s="15" t="inlineStr">
        <is>
          <t>X</t>
        </is>
      </c>
      <c r="J16" s="13" t="inlineStr"/>
      <c r="K16" s="13" t="inlineStr"/>
      <c r="L16" s="13" t="inlineStr"/>
      <c r="M16" s="15" t="inlineStr">
        <is>
          <t>X</t>
        </is>
      </c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7">
        <f>B16 / COUNTIF(A$6:A$45, A16)</f>
        <v/>
      </c>
    </row>
    <row r="17" ht="24" customHeight="1">
      <c r="A17" s="18" t="inlineStr">
        <is>
          <t>RA3</t>
        </is>
      </c>
      <c r="B17" s="19" t="n">
        <v>0.2</v>
      </c>
      <c r="C17" s="18" t="inlineStr">
        <is>
          <t>CE3.a</t>
        </is>
      </c>
      <c r="D17" s="20" t="inlineStr">
        <is>
          <t>Se ha seleccionado el framework y entorno de desarrollo (Angular 19+ Standalone).</t>
        </is>
      </c>
      <c r="E17" s="21" t="inlineStr">
        <is>
          <t>UD09, UD10</t>
        </is>
      </c>
      <c r="F17" s="14">
        <f>COUNTIF(H17:V17, "X")</f>
        <v/>
      </c>
      <c r="G17" s="18">
        <f>IF(F17&gt;0, "EVALUADO", "SIN EVALUAR")</f>
        <v/>
      </c>
      <c r="H17" s="21" t="inlineStr"/>
      <c r="I17" s="21" t="inlineStr"/>
      <c r="J17" s="21" t="inlineStr"/>
      <c r="K17" s="21" t="inlineStr"/>
      <c r="L17" s="15" t="inlineStr">
        <is>
          <t>X</t>
        </is>
      </c>
      <c r="M17" s="15" t="inlineStr">
        <is>
          <t>X</t>
        </is>
      </c>
      <c r="N17" s="21" t="inlineStr"/>
      <c r="O17" s="21" t="inlineStr"/>
      <c r="P17" s="21" t="inlineStr"/>
      <c r="Q17" s="21" t="inlineStr"/>
      <c r="R17" s="21" t="inlineStr"/>
      <c r="S17" s="21" t="inlineStr"/>
      <c r="T17" s="16" t="inlineStr">
        <is>
          <t>X</t>
        </is>
      </c>
      <c r="U17" s="21" t="inlineStr"/>
      <c r="V17" s="21" t="inlineStr"/>
      <c r="W17" s="22">
        <f>B17 / COUNTIF(A$6:A$45, A17)</f>
        <v/>
      </c>
    </row>
    <row r="18" ht="24" customHeight="1">
      <c r="A18" s="10" t="inlineStr">
        <is>
          <t>RA3</t>
        </is>
      </c>
      <c r="B18" s="11" t="n">
        <v>0.2</v>
      </c>
      <c r="C18" s="10" t="inlineStr">
        <is>
          <t>CE3.b</t>
        </is>
      </c>
      <c r="D18" s="12" t="inlineStr">
        <is>
          <t>Se han diseñado componentes reutilizables aplicando atomic design.</t>
        </is>
      </c>
      <c r="E18" s="13" t="inlineStr">
        <is>
          <t>UD11, UD13</t>
        </is>
      </c>
      <c r="F18" s="14">
        <f>COUNTIF(H18:V18, "X")</f>
        <v/>
      </c>
      <c r="G18" s="10">
        <f>IF(F18&gt;0, "EVALUADO", "SIN EVALUAR")</f>
        <v/>
      </c>
      <c r="H18" s="13" t="inlineStr"/>
      <c r="I18" s="13" t="inlineStr"/>
      <c r="J18" s="13" t="inlineStr"/>
      <c r="K18" s="13" t="inlineStr"/>
      <c r="L18" s="15" t="inlineStr">
        <is>
          <t>X</t>
        </is>
      </c>
      <c r="M18" s="15" t="inlineStr">
        <is>
          <t>X</t>
        </is>
      </c>
      <c r="N18" s="13" t="inlineStr"/>
      <c r="O18" s="13" t="inlineStr"/>
      <c r="P18" s="16" t="inlineStr">
        <is>
          <t>X</t>
        </is>
      </c>
      <c r="Q18" s="13" t="inlineStr"/>
      <c r="R18" s="13" t="inlineStr"/>
      <c r="S18" s="13" t="inlineStr"/>
      <c r="T18" s="16" t="inlineStr">
        <is>
          <t>X</t>
        </is>
      </c>
      <c r="U18" s="13" t="inlineStr"/>
      <c r="V18" s="13" t="inlineStr"/>
      <c r="W18" s="17">
        <f>B18 / COUNTIF(A$6:A$45, A18)</f>
        <v/>
      </c>
    </row>
    <row r="19" ht="24" customHeight="1">
      <c r="A19" s="18" t="inlineStr">
        <is>
          <t>RA3</t>
        </is>
      </c>
      <c r="B19" s="19" t="n">
        <v>0.2</v>
      </c>
      <c r="C19" s="18" t="inlineStr">
        <is>
          <t>CE3.c</t>
        </is>
      </c>
      <c r="D19" s="20" t="inlineStr">
        <is>
          <t>Se ha gestionado el estado reactivo y comunicación de componentes (Signals, RxJS).</t>
        </is>
      </c>
      <c r="E19" s="21" t="inlineStr">
        <is>
          <t>UD10, UD11</t>
        </is>
      </c>
      <c r="F19" s="14">
        <f>COUNTIF(H19:V19, "X")</f>
        <v/>
      </c>
      <c r="G19" s="18">
        <f>IF(F19&gt;0, "EVALUADO", "SIN EVALUAR")</f>
        <v/>
      </c>
      <c r="H19" s="21" t="inlineStr"/>
      <c r="I19" s="21" t="inlineStr"/>
      <c r="J19" s="21" t="inlineStr"/>
      <c r="K19" s="21" t="inlineStr"/>
      <c r="L19" s="15" t="inlineStr">
        <is>
          <t>X</t>
        </is>
      </c>
      <c r="M19" s="15" t="inlineStr">
        <is>
          <t>X</t>
        </is>
      </c>
      <c r="N19" s="21" t="inlineStr"/>
      <c r="O19" s="16" t="inlineStr">
        <is>
          <t>X</t>
        </is>
      </c>
      <c r="P19" s="21" t="inlineStr"/>
      <c r="Q19" s="21" t="inlineStr"/>
      <c r="R19" s="21" t="inlineStr"/>
      <c r="S19" s="21" t="inlineStr"/>
      <c r="T19" s="16" t="inlineStr">
        <is>
          <t>X</t>
        </is>
      </c>
      <c r="U19" s="16" t="inlineStr">
        <is>
          <t>X</t>
        </is>
      </c>
      <c r="V19" s="21" t="inlineStr"/>
      <c r="W19" s="22">
        <f>B19 / COUNTIF(A$6:A$45, A19)</f>
        <v/>
      </c>
    </row>
    <row r="20" ht="24" customHeight="1">
      <c r="A20" s="10" t="inlineStr">
        <is>
          <t>RA3</t>
        </is>
      </c>
      <c r="B20" s="11" t="n">
        <v>0.2</v>
      </c>
      <c r="C20" s="10" t="inlineStr">
        <is>
          <t>CE3.d</t>
        </is>
      </c>
      <c r="D20" s="12" t="inlineStr">
        <is>
          <t>Se han integrado directivas, pipes personalizados e inyección de dependencias.</t>
        </is>
      </c>
      <c r="E20" s="13" t="inlineStr">
        <is>
          <t>UD10, UD11</t>
        </is>
      </c>
      <c r="F20" s="14">
        <f>COUNTIF(H20:V20, "X")</f>
        <v/>
      </c>
      <c r="G20" s="10">
        <f>IF(F20&gt;0, "EVALUADO", "SIN EVALUAR")</f>
        <v/>
      </c>
      <c r="H20" s="13" t="inlineStr"/>
      <c r="I20" s="13" t="inlineStr"/>
      <c r="J20" s="13" t="inlineStr"/>
      <c r="K20" s="13" t="inlineStr"/>
      <c r="L20" s="15" t="inlineStr">
        <is>
          <t>X</t>
        </is>
      </c>
      <c r="M20" s="13" t="inlineStr"/>
      <c r="N20" s="13" t="inlineStr"/>
      <c r="O20" s="16" t="inlineStr">
        <is>
          <t>X</t>
        </is>
      </c>
      <c r="P20" s="13" t="inlineStr"/>
      <c r="Q20" s="13" t="inlineStr"/>
      <c r="R20" s="13" t="inlineStr"/>
      <c r="S20" s="13" t="inlineStr"/>
      <c r="T20" s="16" t="inlineStr">
        <is>
          <t>X</t>
        </is>
      </c>
      <c r="U20" s="13" t="inlineStr"/>
      <c r="V20" s="13" t="inlineStr"/>
      <c r="W20" s="17">
        <f>B20 / COUNTIF(A$6:A$45, A20)</f>
        <v/>
      </c>
    </row>
    <row r="21" ht="24" customHeight="1">
      <c r="A21" s="18" t="inlineStr">
        <is>
          <t>RA3</t>
        </is>
      </c>
      <c r="B21" s="19" t="n">
        <v>0.2</v>
      </c>
      <c r="C21" s="18" t="inlineStr">
        <is>
          <t>CE3.e</t>
        </is>
      </c>
      <c r="D21" s="20" t="inlineStr">
        <is>
          <t>Se ha documentado e interactuado con la librería de componentes mediante Storybook.</t>
        </is>
      </c>
      <c r="E21" s="21" t="inlineStr">
        <is>
          <t>UD14</t>
        </is>
      </c>
      <c r="F21" s="14">
        <f>COUNTIF(H21:V21, "X")</f>
        <v/>
      </c>
      <c r="G21" s="18">
        <f>IF(F21&gt;0, "EVALUADO", "SIN EVALUAR")</f>
        <v/>
      </c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16" t="inlineStr">
        <is>
          <t>X</t>
        </is>
      </c>
      <c r="Q21" s="21" t="inlineStr"/>
      <c r="R21" s="21" t="inlineStr"/>
      <c r="S21" s="21" t="inlineStr"/>
      <c r="T21" s="16" t="inlineStr">
        <is>
          <t>X</t>
        </is>
      </c>
      <c r="U21" s="21" t="inlineStr"/>
      <c r="V21" s="21" t="inlineStr"/>
      <c r="W21" s="22">
        <f>B21 / COUNTIF(A$6:A$45, A21)</f>
        <v/>
      </c>
    </row>
    <row r="22" ht="24" customHeight="1">
      <c r="A22" s="10" t="inlineStr">
        <is>
          <t>RA3</t>
        </is>
      </c>
      <c r="B22" s="11" t="n">
        <v>0.2</v>
      </c>
      <c r="C22" s="10" t="inlineStr">
        <is>
          <t>CE3.f</t>
        </is>
      </c>
      <c r="D22" s="12" t="inlineStr">
        <is>
          <t>Se han creado formularios reactivos con validaciones asíncronas y accesibles.</t>
        </is>
      </c>
      <c r="E22" s="13" t="inlineStr">
        <is>
          <t>UD12</t>
        </is>
      </c>
      <c r="F22" s="14">
        <f>COUNTIF(H22:V22, "X")</f>
        <v/>
      </c>
      <c r="G22" s="10">
        <f>IF(F22&gt;0, "EVALUADO", "SIN EVALUAR")</f>
        <v/>
      </c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6" t="inlineStr">
        <is>
          <t>X</t>
        </is>
      </c>
      <c r="P22" s="13" t="inlineStr"/>
      <c r="Q22" s="13" t="inlineStr"/>
      <c r="R22" s="13" t="inlineStr"/>
      <c r="S22" s="13" t="inlineStr"/>
      <c r="T22" s="16" t="inlineStr">
        <is>
          <t>X</t>
        </is>
      </c>
      <c r="U22" s="16" t="inlineStr">
        <is>
          <t>X</t>
        </is>
      </c>
      <c r="V22" s="13" t="inlineStr"/>
      <c r="W22" s="17">
        <f>B22 / COUNTIF(A$6:A$45, A22)</f>
        <v/>
      </c>
    </row>
    <row r="23" ht="24" customHeight="1">
      <c r="A23" s="18" t="inlineStr">
        <is>
          <t>RA4</t>
        </is>
      </c>
      <c r="B23" s="19" t="n">
        <v>0.11</v>
      </c>
      <c r="C23" s="18" t="inlineStr">
        <is>
          <t>CE4.a</t>
        </is>
      </c>
      <c r="D23" s="20" t="inlineStr">
        <is>
          <t>Se han analizado las pautas WCAG 2.2 en niveles A, AA y AAA.</t>
        </is>
      </c>
      <c r="E23" s="21" t="inlineStr">
        <is>
          <t>UD02</t>
        </is>
      </c>
      <c r="F23" s="14">
        <f>COUNTIF(H23:V23, "X")</f>
        <v/>
      </c>
      <c r="G23" s="18">
        <f>IF(F23&gt;0, "EVALUADO", "SIN EVALUAR")</f>
        <v/>
      </c>
      <c r="H23" s="21" t="inlineStr"/>
      <c r="I23" s="21" t="inlineStr"/>
      <c r="J23" s="21" t="inlineStr"/>
      <c r="K23" s="15" t="inlineStr">
        <is>
          <t>X</t>
        </is>
      </c>
      <c r="L23" s="21" t="inlineStr"/>
      <c r="M23" s="15" t="inlineStr">
        <is>
          <t>X</t>
        </is>
      </c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2">
        <f>B23 / COUNTIF(A$6:A$45, A23)</f>
        <v/>
      </c>
    </row>
    <row r="24" ht="24" customHeight="1">
      <c r="A24" s="10" t="inlineStr">
        <is>
          <t>RA4</t>
        </is>
      </c>
      <c r="B24" s="11" t="n">
        <v>0.11</v>
      </c>
      <c r="C24" s="10" t="inlineStr">
        <is>
          <t>CE4.b</t>
        </is>
      </c>
      <c r="D24" s="12" t="inlineStr">
        <is>
          <t>Se han verificado atributos semánticos WAI-ARIA (roles, states, live regions).</t>
        </is>
      </c>
      <c r="E24" s="13" t="inlineStr">
        <is>
          <t>UD02, UD12</t>
        </is>
      </c>
      <c r="F24" s="14">
        <f>COUNTIF(H24:V24, "X")</f>
        <v/>
      </c>
      <c r="G24" s="10">
        <f>IF(F24&gt;0, "EVALUADO", "SIN EVALUAR")</f>
        <v/>
      </c>
      <c r="H24" s="13" t="inlineStr"/>
      <c r="I24" s="13" t="inlineStr"/>
      <c r="J24" s="13" t="inlineStr"/>
      <c r="K24" s="15" t="inlineStr">
        <is>
          <t>X</t>
        </is>
      </c>
      <c r="L24" s="13" t="inlineStr"/>
      <c r="M24" s="13" t="inlineStr"/>
      <c r="N24" s="13" t="inlineStr"/>
      <c r="O24" s="16" t="inlineStr">
        <is>
          <t>X</t>
        </is>
      </c>
      <c r="P24" s="13" t="inlineStr"/>
      <c r="Q24" s="13" t="inlineStr"/>
      <c r="R24" s="13" t="inlineStr"/>
      <c r="S24" s="13" t="inlineStr"/>
      <c r="T24" s="16" t="inlineStr">
        <is>
          <t>X</t>
        </is>
      </c>
      <c r="U24" s="13" t="inlineStr"/>
      <c r="V24" s="13" t="inlineStr"/>
      <c r="W24" s="17">
        <f>B24 / COUNTIF(A$6:A$45, A24)</f>
        <v/>
      </c>
    </row>
    <row r="25" ht="24" customHeight="1">
      <c r="A25" s="18" t="inlineStr">
        <is>
          <t>RA4</t>
        </is>
      </c>
      <c r="B25" s="19" t="n">
        <v>0.11</v>
      </c>
      <c r="C25" s="18" t="inlineStr">
        <is>
          <t>CE4.c</t>
        </is>
      </c>
      <c r="D25" s="20" t="inlineStr">
        <is>
          <t>Se ha asegurado navegación por teclado, focos visibles y ratios de contraste.</t>
        </is>
      </c>
      <c r="E25" s="21" t="inlineStr">
        <is>
          <t>UD02, UD08</t>
        </is>
      </c>
      <c r="F25" s="14">
        <f>COUNTIF(H25:V25, "X")</f>
        <v/>
      </c>
      <c r="G25" s="18">
        <f>IF(F25&gt;0, "EVALUADO", "SIN EVALUAR")</f>
        <v/>
      </c>
      <c r="H25" s="21" t="inlineStr"/>
      <c r="I25" s="21" t="inlineStr"/>
      <c r="J25" s="21" t="inlineStr"/>
      <c r="K25" s="15" t="inlineStr">
        <is>
          <t>X</t>
        </is>
      </c>
      <c r="L25" s="21" t="inlineStr"/>
      <c r="M25" s="15" t="inlineStr">
        <is>
          <t>X</t>
        </is>
      </c>
      <c r="N25" s="21" t="inlineStr"/>
      <c r="O25" s="16" t="inlineStr">
        <is>
          <t>X</t>
        </is>
      </c>
      <c r="P25" s="21" t="inlineStr"/>
      <c r="Q25" s="21" t="inlineStr"/>
      <c r="R25" s="21" t="inlineStr"/>
      <c r="S25" s="21" t="inlineStr"/>
      <c r="T25" s="16" t="inlineStr">
        <is>
          <t>X</t>
        </is>
      </c>
      <c r="U25" s="21" t="inlineStr"/>
      <c r="V25" s="21" t="inlineStr"/>
      <c r="W25" s="22">
        <f>B25 / COUNTIF(A$6:A$45, A25)</f>
        <v/>
      </c>
    </row>
    <row r="26" ht="24" customHeight="1">
      <c r="A26" s="10" t="inlineStr">
        <is>
          <t>RA4</t>
        </is>
      </c>
      <c r="B26" s="11" t="n">
        <v>0.11</v>
      </c>
      <c r="C26" s="10" t="inlineStr">
        <is>
          <t>CE4.d</t>
        </is>
      </c>
      <c r="D26" s="12" t="inlineStr">
        <is>
          <t>Se han ejecutado auditorías automáticas de accesibilidad (Axe Core, Lighthouse).</t>
        </is>
      </c>
      <c r="E26" s="13" t="inlineStr">
        <is>
          <t>UD02</t>
        </is>
      </c>
      <c r="F26" s="14">
        <f>COUNTIF(H26:V26, "X")</f>
        <v/>
      </c>
      <c r="G26" s="10">
        <f>IF(F26&gt;0, "EVALUADO", "SIN EVALUAR")</f>
        <v/>
      </c>
      <c r="H26" s="13" t="inlineStr"/>
      <c r="I26" s="13" t="inlineStr"/>
      <c r="J26" s="13" t="inlineStr"/>
      <c r="K26" s="15" t="inlineStr">
        <is>
          <t>X</t>
        </is>
      </c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6" t="inlineStr">
        <is>
          <t>X</t>
        </is>
      </c>
      <c r="U26" s="13" t="inlineStr"/>
      <c r="V26" s="13" t="inlineStr"/>
      <c r="W26" s="17">
        <f>B26 / COUNTIF(A$6:A$45, A26)</f>
        <v/>
      </c>
    </row>
    <row r="27" ht="24" customHeight="1">
      <c r="A27" s="18" t="inlineStr">
        <is>
          <t>RA4</t>
        </is>
      </c>
      <c r="B27" s="19" t="n">
        <v>0.11</v>
      </c>
      <c r="C27" s="18" t="inlineStr">
        <is>
          <t>CE4.e</t>
        </is>
      </c>
      <c r="D27" s="20" t="inlineStr">
        <is>
          <t>Se han realizado pruebas de compatibilidad con lectores de pantalla (NVDA, VoiceOver).</t>
        </is>
      </c>
      <c r="E27" s="21" t="inlineStr">
        <is>
          <t>UD02, UD12</t>
        </is>
      </c>
      <c r="F27" s="14">
        <f>COUNTIF(H27:V27, "X")</f>
        <v/>
      </c>
      <c r="G27" s="18">
        <f>IF(F27&gt;0, "EVALUADO", "SIN EVALUAR")</f>
        <v/>
      </c>
      <c r="H27" s="21" t="inlineStr"/>
      <c r="I27" s="21" t="inlineStr"/>
      <c r="J27" s="21" t="inlineStr"/>
      <c r="K27" s="15" t="inlineStr">
        <is>
          <t>X</t>
        </is>
      </c>
      <c r="L27" s="21" t="inlineStr"/>
      <c r="M27" s="21" t="inlineStr"/>
      <c r="N27" s="21" t="inlineStr"/>
      <c r="O27" s="16" t="inlineStr">
        <is>
          <t>X</t>
        </is>
      </c>
      <c r="P27" s="21" t="inlineStr"/>
      <c r="Q27" s="21" t="inlineStr"/>
      <c r="R27" s="21" t="inlineStr"/>
      <c r="S27" s="21" t="inlineStr"/>
      <c r="T27" s="21" t="inlineStr"/>
      <c r="U27" s="21" t="inlineStr"/>
      <c r="V27" s="21" t="inlineStr"/>
      <c r="W27" s="22">
        <f>B27 / COUNTIF(A$6:A$45, A27)</f>
        <v/>
      </c>
    </row>
    <row r="28" ht="24" customHeight="1">
      <c r="A28" s="10" t="inlineStr">
        <is>
          <t>RA5</t>
        </is>
      </c>
      <c r="B28" s="11" t="n">
        <v>0.04</v>
      </c>
      <c r="C28" s="10" t="inlineStr">
        <is>
          <t>CE5.a</t>
        </is>
      </c>
      <c r="D28" s="12" t="inlineStr">
        <is>
          <t>Se han seleccionado herramientas y librerías de generación de documentos (jsPDF, SheetJS).</t>
        </is>
      </c>
      <c r="E28" s="13" t="inlineStr">
        <is>
          <t>UD16</t>
        </is>
      </c>
      <c r="F28" s="14">
        <f>COUNTIF(H28:V28, "X")</f>
        <v/>
      </c>
      <c r="G28" s="10">
        <f>IF(F28&gt;0, "EVALUADO", "SIN EVALUAR")</f>
        <v/>
      </c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6" t="inlineStr">
        <is>
          <t>X</t>
        </is>
      </c>
      <c r="R28" s="13" t="inlineStr"/>
      <c r="S28" s="13" t="inlineStr"/>
      <c r="T28" s="16" t="inlineStr">
        <is>
          <t>X</t>
        </is>
      </c>
      <c r="U28" s="16" t="inlineStr">
        <is>
          <t>X</t>
        </is>
      </c>
      <c r="V28" s="13" t="inlineStr"/>
      <c r="W28" s="17">
        <f>B28 / COUNTIF(A$6:A$45, A28)</f>
        <v/>
      </c>
    </row>
    <row r="29" ht="24" customHeight="1">
      <c r="A29" s="18" t="inlineStr">
        <is>
          <t>RA5</t>
        </is>
      </c>
      <c r="B29" s="19" t="n">
        <v>0.04</v>
      </c>
      <c r="C29" s="18" t="inlineStr">
        <is>
          <t>CE5.b</t>
        </is>
      </c>
      <c r="D29" s="20" t="inlineStr">
        <is>
          <t>Se han diseñado plantillas de informes estructurados con tablas y paginación.</t>
        </is>
      </c>
      <c r="E29" s="21" t="inlineStr">
        <is>
          <t>UD16</t>
        </is>
      </c>
      <c r="F29" s="14">
        <f>COUNTIF(H29:V29, "X")</f>
        <v/>
      </c>
      <c r="G29" s="18">
        <f>IF(F29&gt;0, "EVALUADO", "SIN EVALUAR")</f>
        <v/>
      </c>
      <c r="H29" s="21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16" t="inlineStr">
        <is>
          <t>X</t>
        </is>
      </c>
      <c r="R29" s="21" t="inlineStr"/>
      <c r="S29" s="21" t="inlineStr"/>
      <c r="T29" s="16" t="inlineStr">
        <is>
          <t>X</t>
        </is>
      </c>
      <c r="U29" s="21" t="inlineStr"/>
      <c r="V29" s="21" t="inlineStr"/>
      <c r="W29" s="22">
        <f>B29 / COUNTIF(A$6:A$45, A29)</f>
        <v/>
      </c>
    </row>
    <row r="30" ht="24" customHeight="1">
      <c r="A30" s="10" t="inlineStr">
        <is>
          <t>RA5</t>
        </is>
      </c>
      <c r="B30" s="11" t="n">
        <v>0.04</v>
      </c>
      <c r="C30" s="10" t="inlineStr">
        <is>
          <t>CE5.c</t>
        </is>
      </c>
      <c r="D30" s="12" t="inlineStr">
        <is>
          <t>Se han creado cuadros de mando interactivos con visualización de datos (Chart.js).</t>
        </is>
      </c>
      <c r="E30" s="13" t="inlineStr">
        <is>
          <t>UD17</t>
        </is>
      </c>
      <c r="F30" s="14">
        <f>COUNTIF(H30:V30, "X")</f>
        <v/>
      </c>
      <c r="G30" s="10">
        <f>IF(F30&gt;0, "EVALUADO", "SIN EVALUAR")</f>
        <v/>
      </c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6" t="inlineStr">
        <is>
          <t>X</t>
        </is>
      </c>
      <c r="R30" s="13" t="inlineStr"/>
      <c r="S30" s="13" t="inlineStr"/>
      <c r="T30" s="16" t="inlineStr">
        <is>
          <t>X</t>
        </is>
      </c>
      <c r="U30" s="13" t="inlineStr"/>
      <c r="V30" s="13" t="inlineStr"/>
      <c r="W30" s="17">
        <f>B30 / COUNTIF(A$6:A$45, A30)</f>
        <v/>
      </c>
    </row>
    <row r="31" ht="24" customHeight="1">
      <c r="A31" s="18" t="inlineStr">
        <is>
          <t>RA5</t>
        </is>
      </c>
      <c r="B31" s="19" t="n">
        <v>0.04</v>
      </c>
      <c r="C31" s="18" t="inlineStr">
        <is>
          <t>CE5.d</t>
        </is>
      </c>
      <c r="D31" s="20" t="inlineStr">
        <is>
          <t>Se han implementado filtros dinámicos y exportación en formatos estándar (PDF, Excel, CSV).</t>
        </is>
      </c>
      <c r="E31" s="21" t="inlineStr">
        <is>
          <t>UD17</t>
        </is>
      </c>
      <c r="F31" s="14">
        <f>COUNTIF(H31:V31, "X")</f>
        <v/>
      </c>
      <c r="G31" s="18">
        <f>IF(F31&gt;0, "EVALUADO", "SIN EVALUAR")</f>
        <v/>
      </c>
      <c r="H31" s="21" t="inlineStr"/>
      <c r="I31" s="21" t="inlineStr"/>
      <c r="J31" s="21" t="inlineStr"/>
      <c r="K31" s="21" t="inlineStr"/>
      <c r="L31" s="21" t="inlineStr"/>
      <c r="M31" s="21" t="inlineStr"/>
      <c r="N31" s="21" t="inlineStr"/>
      <c r="O31" s="21" t="inlineStr"/>
      <c r="P31" s="21" t="inlineStr"/>
      <c r="Q31" s="16" t="inlineStr">
        <is>
          <t>X</t>
        </is>
      </c>
      <c r="R31" s="21" t="inlineStr"/>
      <c r="S31" s="21" t="inlineStr"/>
      <c r="T31" s="16" t="inlineStr">
        <is>
          <t>X</t>
        </is>
      </c>
      <c r="U31" s="21" t="inlineStr"/>
      <c r="V31" s="21" t="inlineStr"/>
      <c r="W31" s="22">
        <f>B31 / COUNTIF(A$6:A$45, A31)</f>
        <v/>
      </c>
    </row>
    <row r="32" ht="24" customHeight="1">
      <c r="A32" s="10" t="inlineStr">
        <is>
          <t>RA6</t>
        </is>
      </c>
      <c r="B32" s="11" t="n">
        <v>0.07000000000000001</v>
      </c>
      <c r="C32" s="10" t="inlineStr">
        <is>
          <t>CE6.a</t>
        </is>
      </c>
      <c r="D32" s="12" t="inlineStr">
        <is>
          <t>Se han identificado destinatarios y requisitos de la documentación técnica y de usuario.</t>
        </is>
      </c>
      <c r="E32" s="13" t="inlineStr">
        <is>
          <t>UD18</t>
        </is>
      </c>
      <c r="F32" s="14">
        <f>COUNTIF(H32:V32, "X")</f>
        <v/>
      </c>
      <c r="G32" s="10">
        <f>IF(F32&gt;0, "EVALUADO", "SIN EVALUAR")</f>
        <v/>
      </c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6" t="inlineStr">
        <is>
          <t>X</t>
        </is>
      </c>
      <c r="Q32" s="13" t="inlineStr"/>
      <c r="R32" s="13" t="inlineStr"/>
      <c r="S32" s="13" t="inlineStr"/>
      <c r="T32" s="16" t="inlineStr">
        <is>
          <t>X</t>
        </is>
      </c>
      <c r="U32" s="13" t="inlineStr"/>
      <c r="V32" s="13" t="inlineStr"/>
      <c r="W32" s="17">
        <f>B32 / COUNTIF(A$6:A$45, A32)</f>
        <v/>
      </c>
    </row>
    <row r="33" ht="24" customHeight="1">
      <c r="A33" s="18" t="inlineStr">
        <is>
          <t>RA6</t>
        </is>
      </c>
      <c r="B33" s="19" t="n">
        <v>0.07000000000000001</v>
      </c>
      <c r="C33" s="18" t="inlineStr">
        <is>
          <t>CE6.b</t>
        </is>
      </c>
      <c r="D33" s="20" t="inlineStr">
        <is>
          <t>Se han generado esquemas, diagramas de flujo y arquitectura de la interfaz.</t>
        </is>
      </c>
      <c r="E33" s="21" t="inlineStr">
        <is>
          <t>UD18</t>
        </is>
      </c>
      <c r="F33" s="14">
        <f>COUNTIF(H33:V33, "X")</f>
        <v/>
      </c>
      <c r="G33" s="18">
        <f>IF(F33&gt;0, "EVALUADO", "SIN EVALUAR")</f>
        <v/>
      </c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16" t="inlineStr">
        <is>
          <t>X</t>
        </is>
      </c>
      <c r="Q33" s="21" t="inlineStr"/>
      <c r="R33" s="21" t="inlineStr"/>
      <c r="S33" s="21" t="inlineStr"/>
      <c r="T33" s="16" t="inlineStr">
        <is>
          <t>X</t>
        </is>
      </c>
      <c r="U33" s="21" t="inlineStr"/>
      <c r="V33" s="21" t="inlineStr"/>
      <c r="W33" s="22">
        <f>B33 / COUNTIF(A$6:A$45, A33)</f>
        <v/>
      </c>
    </row>
    <row r="34" ht="24" customHeight="1">
      <c r="A34" s="10" t="inlineStr">
        <is>
          <t>RA6</t>
        </is>
      </c>
      <c r="B34" s="11" t="n">
        <v>0.07000000000000001</v>
      </c>
      <c r="C34" s="10" t="inlineStr">
        <is>
          <t>CE6.c</t>
        </is>
      </c>
      <c r="D34" s="12" t="inlineStr">
        <is>
          <t>Se ha automatizado la generación de documentación de componentes (Compodoc, Storybook).</t>
        </is>
      </c>
      <c r="E34" s="13" t="inlineStr">
        <is>
          <t>UD14, UD18</t>
        </is>
      </c>
      <c r="F34" s="14">
        <f>COUNTIF(H34:V34, "X")</f>
        <v/>
      </c>
      <c r="G34" s="10">
        <f>IF(F34&gt;0, "EVALUADO", "SIN EVALUAR")</f>
        <v/>
      </c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6" t="inlineStr">
        <is>
          <t>X</t>
        </is>
      </c>
      <c r="Q34" s="13" t="inlineStr"/>
      <c r="R34" s="13" t="inlineStr"/>
      <c r="S34" s="13" t="inlineStr"/>
      <c r="T34" s="16" t="inlineStr">
        <is>
          <t>X</t>
        </is>
      </c>
      <c r="U34" s="13" t="inlineStr"/>
      <c r="V34" s="13" t="inlineStr"/>
      <c r="W34" s="17">
        <f>B34 / COUNTIF(A$6:A$45, A34)</f>
        <v/>
      </c>
    </row>
    <row r="35" ht="24" customHeight="1">
      <c r="A35" s="18" t="inlineStr">
        <is>
          <t>RA6</t>
        </is>
      </c>
      <c r="B35" s="19" t="n">
        <v>0.07000000000000001</v>
      </c>
      <c r="C35" s="18" t="inlineStr">
        <is>
          <t>CE6.d</t>
        </is>
      </c>
      <c r="D35" s="20" t="inlineStr">
        <is>
          <t>Se han redactado guías de estilo, manuales interactivos y ayuda en línea (Zensical/Markdown).</t>
        </is>
      </c>
      <c r="E35" s="21" t="inlineStr">
        <is>
          <t>UD18</t>
        </is>
      </c>
      <c r="F35" s="14">
        <f>COUNTIF(H35:V35, "X")</f>
        <v/>
      </c>
      <c r="G35" s="18">
        <f>IF(F35&gt;0, "EVALUADO", "SIN EVALUAR")</f>
        <v/>
      </c>
      <c r="H35" s="21" t="inlineStr"/>
      <c r="I35" s="21" t="inlineStr"/>
      <c r="J35" s="21" t="inlineStr"/>
      <c r="K35" s="21" t="inlineStr"/>
      <c r="L35" s="21" t="inlineStr"/>
      <c r="M35" s="21" t="inlineStr"/>
      <c r="N35" s="21" t="inlineStr"/>
      <c r="O35" s="21" t="inlineStr"/>
      <c r="P35" s="16" t="inlineStr">
        <is>
          <t>X</t>
        </is>
      </c>
      <c r="Q35" s="21" t="inlineStr"/>
      <c r="R35" s="21" t="inlineStr"/>
      <c r="S35" s="21" t="inlineStr"/>
      <c r="T35" s="16" t="inlineStr">
        <is>
          <t>X</t>
        </is>
      </c>
      <c r="U35" s="21" t="inlineStr"/>
      <c r="V35" s="21" t="inlineStr"/>
      <c r="W35" s="22">
        <f>B35 / COUNTIF(A$6:A$45, A35)</f>
        <v/>
      </c>
    </row>
    <row r="36" ht="24" customHeight="1">
      <c r="A36" s="10" t="inlineStr">
        <is>
          <t>RA7</t>
        </is>
      </c>
      <c r="B36" s="11" t="n">
        <v>0.1</v>
      </c>
      <c r="C36" s="10" t="inlineStr">
        <is>
          <t>CE7.a</t>
        </is>
      </c>
      <c r="D36" s="12" t="inlineStr">
        <is>
          <t>Se han identificado entornos de ejecución y plataformas de destino (Windows, macOS, Linux).</t>
        </is>
      </c>
      <c r="E36" s="13" t="inlineStr">
        <is>
          <t>UD20</t>
        </is>
      </c>
      <c r="F36" s="14">
        <f>COUNTIF(H36:V36, "X")</f>
        <v/>
      </c>
      <c r="G36" s="10">
        <f>IF(F36&gt;0, "EVALUADO", "SIN EVALUAR")</f>
        <v/>
      </c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6" t="inlineStr">
        <is>
          <t>X</t>
        </is>
      </c>
      <c r="T36" s="16" t="inlineStr">
        <is>
          <t>X</t>
        </is>
      </c>
      <c r="U36" s="13" t="inlineStr"/>
      <c r="V36" s="13" t="inlineStr"/>
      <c r="W36" s="17">
        <f>B36 / COUNTIF(A$6:A$45, A36)</f>
        <v/>
      </c>
    </row>
    <row r="37" ht="24" customHeight="1">
      <c r="A37" s="18" t="inlineStr">
        <is>
          <t>RA7</t>
        </is>
      </c>
      <c r="B37" s="19" t="n">
        <v>0.1</v>
      </c>
      <c r="C37" s="18" t="inlineStr">
        <is>
          <t>CE7.b</t>
        </is>
      </c>
      <c r="D37" s="20" t="inlineStr">
        <is>
          <t>Se ha integrado la aplicación Angular en un contenedor de escritorio con Electron.</t>
        </is>
      </c>
      <c r="E37" s="21" t="inlineStr">
        <is>
          <t>UD20</t>
        </is>
      </c>
      <c r="F37" s="14">
        <f>COUNTIF(H37:V37, "X")</f>
        <v/>
      </c>
      <c r="G37" s="18">
        <f>IF(F37&gt;0, "EVALUADO", "SIN EVALUAR")</f>
        <v/>
      </c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  <c r="S37" s="16" t="inlineStr">
        <is>
          <t>X</t>
        </is>
      </c>
      <c r="T37" s="16" t="inlineStr">
        <is>
          <t>X</t>
        </is>
      </c>
      <c r="U37" s="16" t="inlineStr">
        <is>
          <t>X</t>
        </is>
      </c>
      <c r="V37" s="21" t="inlineStr"/>
      <c r="W37" s="22">
        <f>B37 / COUNTIF(A$6:A$45, A37)</f>
        <v/>
      </c>
    </row>
    <row r="38" ht="24" customHeight="1">
      <c r="A38" s="10" t="inlineStr">
        <is>
          <t>RA7</t>
        </is>
      </c>
      <c r="B38" s="11" t="n">
        <v>0.1</v>
      </c>
      <c r="C38" s="10" t="inlineStr">
        <is>
          <t>CE7.c</t>
        </is>
      </c>
      <c r="D38" s="12" t="inlineStr">
        <is>
          <t>Se ha configurado la comunicación IPC segura (Preload Scripts, Context Isolation).</t>
        </is>
      </c>
      <c r="E38" s="13" t="inlineStr">
        <is>
          <t>UD20</t>
        </is>
      </c>
      <c r="F38" s="14">
        <f>COUNTIF(H38:V38, "X")</f>
        <v/>
      </c>
      <c r="G38" s="10">
        <f>IF(F38&gt;0, "EVALUADO", "SIN EVALUAR")</f>
        <v/>
      </c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6" t="inlineStr">
        <is>
          <t>X</t>
        </is>
      </c>
      <c r="T38" s="16" t="inlineStr">
        <is>
          <t>X</t>
        </is>
      </c>
      <c r="U38" s="16" t="inlineStr">
        <is>
          <t>X</t>
        </is>
      </c>
      <c r="V38" s="13" t="inlineStr"/>
      <c r="W38" s="17">
        <f>B38 / COUNTIF(A$6:A$45, A38)</f>
        <v/>
      </c>
    </row>
    <row r="39" ht="24" customHeight="1">
      <c r="A39" s="18" t="inlineStr">
        <is>
          <t>RA7</t>
        </is>
      </c>
      <c r="B39" s="19" t="n">
        <v>0.1</v>
      </c>
      <c r="C39" s="18" t="inlineStr">
        <is>
          <t>CE7.d</t>
        </is>
      </c>
      <c r="D39" s="20" t="inlineStr">
        <is>
          <t>Se han generado paquetes e instaladores multiplataforma (Forge, Builder, MSIX, AppImage).</t>
        </is>
      </c>
      <c r="E39" s="21" t="inlineStr">
        <is>
          <t>UD21</t>
        </is>
      </c>
      <c r="F39" s="14">
        <f>COUNTIF(H39:V39, "X")</f>
        <v/>
      </c>
      <c r="G39" s="18">
        <f>IF(F39&gt;0, "EVALUADO", "SIN EVALUAR")</f>
        <v/>
      </c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  <c r="Q39" s="21" t="inlineStr"/>
      <c r="R39" s="21" t="inlineStr"/>
      <c r="S39" s="16" t="inlineStr">
        <is>
          <t>X</t>
        </is>
      </c>
      <c r="T39" s="16" t="inlineStr">
        <is>
          <t>X</t>
        </is>
      </c>
      <c r="U39" s="21" t="inlineStr"/>
      <c r="V39" s="21" t="inlineStr"/>
      <c r="W39" s="22">
        <f>B39 / COUNTIF(A$6:A$45, A39)</f>
        <v/>
      </c>
    </row>
    <row r="40" ht="24" customHeight="1">
      <c r="A40" s="10" t="inlineStr">
        <is>
          <t>RA7</t>
        </is>
      </c>
      <c r="B40" s="11" t="n">
        <v>0.1</v>
      </c>
      <c r="C40" s="10" t="inlineStr">
        <is>
          <t>CE7.e</t>
        </is>
      </c>
      <c r="D40" s="12" t="inlineStr">
        <is>
          <t>Se han configurado actualizaciones automáticas y firmas de ejecutables.</t>
        </is>
      </c>
      <c r="E40" s="13" t="inlineStr">
        <is>
          <t>UD21</t>
        </is>
      </c>
      <c r="F40" s="14">
        <f>COUNTIF(H40:V40, "X")</f>
        <v/>
      </c>
      <c r="G40" s="10">
        <f>IF(F40&gt;0, "EVALUADO", "SIN EVALUAR")</f>
        <v/>
      </c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6" t="inlineStr">
        <is>
          <t>X</t>
        </is>
      </c>
      <c r="T40" s="13" t="inlineStr"/>
      <c r="U40" s="13" t="inlineStr"/>
      <c r="V40" s="13" t="inlineStr"/>
      <c r="W40" s="17">
        <f>B40 / COUNTIF(A$6:A$45, A40)</f>
        <v/>
      </c>
    </row>
    <row r="41" ht="24" customHeight="1">
      <c r="A41" s="18" t="inlineStr">
        <is>
          <t>RA8</t>
        </is>
      </c>
      <c r="B41" s="19" t="n">
        <v>0.1</v>
      </c>
      <c r="C41" s="18" t="inlineStr">
        <is>
          <t>CE8.a</t>
        </is>
      </c>
      <c r="D41" s="20" t="inlineStr">
        <is>
          <t>Se ha planificado la estrategia de pruebas de la interfaz de usuario.</t>
        </is>
      </c>
      <c r="E41" s="21" t="inlineStr">
        <is>
          <t>UD19</t>
        </is>
      </c>
      <c r="F41" s="14">
        <f>COUNTIF(H41:V41, "X")</f>
        <v/>
      </c>
      <c r="G41" s="18">
        <f>IF(F41&gt;0, "EVALUADO", "SIN EVALUAR")</f>
        <v/>
      </c>
      <c r="H41" s="21" t="inlineStr"/>
      <c r="I41" s="21" t="inlineStr"/>
      <c r="J41" s="21" t="inlineStr"/>
      <c r="K41" s="21" t="inlineStr"/>
      <c r="L41" s="21" t="inlineStr"/>
      <c r="M41" s="21" t="inlineStr"/>
      <c r="N41" s="21" t="inlineStr"/>
      <c r="O41" s="21" t="inlineStr"/>
      <c r="P41" s="21" t="inlineStr"/>
      <c r="Q41" s="21" t="inlineStr"/>
      <c r="R41" s="16" t="inlineStr">
        <is>
          <t>X</t>
        </is>
      </c>
      <c r="S41" s="21" t="inlineStr"/>
      <c r="T41" s="16" t="inlineStr">
        <is>
          <t>X</t>
        </is>
      </c>
      <c r="U41" s="21" t="inlineStr"/>
      <c r="V41" s="21" t="inlineStr"/>
      <c r="W41" s="22">
        <f>B41 / COUNTIF(A$6:A$45, A41)</f>
        <v/>
      </c>
    </row>
    <row r="42" ht="24" customHeight="1">
      <c r="A42" s="10" t="inlineStr">
        <is>
          <t>RA8</t>
        </is>
      </c>
      <c r="B42" s="11" t="n">
        <v>0.1</v>
      </c>
      <c r="C42" s="10" t="inlineStr">
        <is>
          <t>CE8.b</t>
        </is>
      </c>
      <c r="D42" s="12" t="inlineStr">
        <is>
          <t>Se han implementado pruebas unitarias de componentes y servicios (Vitest).</t>
        </is>
      </c>
      <c r="E42" s="13" t="inlineStr">
        <is>
          <t>UD19</t>
        </is>
      </c>
      <c r="F42" s="14">
        <f>COUNTIF(H42:V42, "X")</f>
        <v/>
      </c>
      <c r="G42" s="10">
        <f>IF(F42&gt;0, "EVALUADO", "SIN EVALUAR")</f>
        <v/>
      </c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6" t="inlineStr">
        <is>
          <t>X</t>
        </is>
      </c>
      <c r="S42" s="13" t="inlineStr"/>
      <c r="T42" s="16" t="inlineStr">
        <is>
          <t>X</t>
        </is>
      </c>
      <c r="U42" s="16" t="inlineStr">
        <is>
          <t>X</t>
        </is>
      </c>
      <c r="V42" s="13" t="inlineStr"/>
      <c r="W42" s="17">
        <f>B42 / COUNTIF(A$6:A$45, A42)</f>
        <v/>
      </c>
    </row>
    <row r="43" ht="24" customHeight="1">
      <c r="A43" s="18" t="inlineStr">
        <is>
          <t>RA8</t>
        </is>
      </c>
      <c r="B43" s="19" t="n">
        <v>0.1</v>
      </c>
      <c r="C43" s="18" t="inlineStr">
        <is>
          <t>CE8.c</t>
        </is>
      </c>
      <c r="D43" s="20" t="inlineStr">
        <is>
          <t>Se han realizado pruebas de integración y simulación de eventos (Testing Library).</t>
        </is>
      </c>
      <c r="E43" s="21" t="inlineStr">
        <is>
          <t>UD19</t>
        </is>
      </c>
      <c r="F43" s="14">
        <f>COUNTIF(H43:V43, "X")</f>
        <v/>
      </c>
      <c r="G43" s="18">
        <f>IF(F43&gt;0, "EVALUADO", "SIN EVALUAR")</f>
        <v/>
      </c>
      <c r="H43" s="21" t="inlineStr"/>
      <c r="I43" s="21" t="inlineStr"/>
      <c r="J43" s="21" t="inlineStr"/>
      <c r="K43" s="21" t="inlineStr"/>
      <c r="L43" s="21" t="inlineStr"/>
      <c r="M43" s="21" t="inlineStr"/>
      <c r="N43" s="21" t="inlineStr"/>
      <c r="O43" s="21" t="inlineStr"/>
      <c r="P43" s="21" t="inlineStr"/>
      <c r="Q43" s="21" t="inlineStr"/>
      <c r="R43" s="16" t="inlineStr">
        <is>
          <t>X</t>
        </is>
      </c>
      <c r="S43" s="21" t="inlineStr"/>
      <c r="T43" s="16" t="inlineStr">
        <is>
          <t>X</t>
        </is>
      </c>
      <c r="U43" s="21" t="inlineStr"/>
      <c r="V43" s="21" t="inlineStr"/>
      <c r="W43" s="22">
        <f>B43 / COUNTIF(A$6:A$45, A43)</f>
        <v/>
      </c>
    </row>
    <row r="44" ht="24" customHeight="1">
      <c r="A44" s="10" t="inlineStr">
        <is>
          <t>RA8</t>
        </is>
      </c>
      <c r="B44" s="11" t="n">
        <v>0.1</v>
      </c>
      <c r="C44" s="10" t="inlineStr">
        <is>
          <t>CE8.d</t>
        </is>
      </c>
      <c r="D44" s="12" t="inlineStr">
        <is>
          <t>Se han automatizado pruebas End-to-End (E2E) de flujos críticos (Playwright).</t>
        </is>
      </c>
      <c r="E44" s="13" t="inlineStr">
        <is>
          <t>UD19</t>
        </is>
      </c>
      <c r="F44" s="14">
        <f>COUNTIF(H44:V44, "X")</f>
        <v/>
      </c>
      <c r="G44" s="10">
        <f>IF(F44&gt;0, "EVALUADO", "SIN EVALUAR")</f>
        <v/>
      </c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6" t="inlineStr">
        <is>
          <t>X</t>
        </is>
      </c>
      <c r="S44" s="13" t="inlineStr"/>
      <c r="T44" s="16" t="inlineStr">
        <is>
          <t>X</t>
        </is>
      </c>
      <c r="U44" s="16" t="inlineStr">
        <is>
          <t>X</t>
        </is>
      </c>
      <c r="V44" s="13" t="inlineStr"/>
      <c r="W44" s="17">
        <f>B44 / COUNTIF(A$6:A$45, A44)</f>
        <v/>
      </c>
    </row>
    <row r="45" ht="24" customHeight="1">
      <c r="A45" s="18" t="inlineStr">
        <is>
          <t>RA8</t>
        </is>
      </c>
      <c r="B45" s="19" t="n">
        <v>0.1</v>
      </c>
      <c r="C45" s="18" t="inlineStr">
        <is>
          <t>CE8.e</t>
        </is>
      </c>
      <c r="D45" s="20" t="inlineStr">
        <is>
          <t>Se han medido métricas de rendimiento, tiempos de renderizado y Core Web Vitals.</t>
        </is>
      </c>
      <c r="E45" s="21" t="inlineStr">
        <is>
          <t>UD19</t>
        </is>
      </c>
      <c r="F45" s="14">
        <f>COUNTIF(H45:V45, "X")</f>
        <v/>
      </c>
      <c r="G45" s="18">
        <f>IF(F45&gt;0, "EVALUADO", "SIN EVALUAR")</f>
        <v/>
      </c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16" t="inlineStr">
        <is>
          <t>X</t>
        </is>
      </c>
      <c r="S45" s="21" t="inlineStr"/>
      <c r="T45" s="16" t="inlineStr">
        <is>
          <t>X</t>
        </is>
      </c>
      <c r="U45" s="21" t="inlineStr"/>
      <c r="V45" s="21" t="inlineStr"/>
      <c r="W45" s="22">
        <f>B45 / COUNTIF(A$6:A$45, A45)</f>
        <v/>
      </c>
    </row>
    <row r="46" ht="24" customHeight="1">
      <c r="A46" s="23" t="inlineStr">
        <is>
          <t>TOTAL CRITERIOS EVALUADOS POR ESTA TAREA</t>
        </is>
      </c>
      <c r="H46" s="24">
        <f>COUNTIF(H$6:H$45, "X")</f>
        <v/>
      </c>
      <c r="I46" s="24">
        <f>COUNTIF(I$6:I$45, "X")</f>
        <v/>
      </c>
      <c r="J46" s="24">
        <f>COUNTIF(J$6:J$45, "X")</f>
        <v/>
      </c>
      <c r="K46" s="24">
        <f>COUNTIF(K$6:K$45, "X")</f>
        <v/>
      </c>
      <c r="L46" s="24">
        <f>COUNTIF(L$6:L$45, "X")</f>
        <v/>
      </c>
      <c r="M46" s="24">
        <f>COUNTIF(M$6:M$45, "X")</f>
        <v/>
      </c>
      <c r="N46" s="24">
        <f>COUNTIF(N$6:N$45, "X")</f>
        <v/>
      </c>
      <c r="O46" s="24">
        <f>COUNTIF(O$6:O$45, "X")</f>
        <v/>
      </c>
      <c r="P46" s="24">
        <f>COUNTIF(P$6:P$45, "X")</f>
        <v/>
      </c>
      <c r="Q46" s="24">
        <f>COUNTIF(Q$6:Q$45, "X")</f>
        <v/>
      </c>
      <c r="R46" s="24">
        <f>COUNTIF(R$6:R$45, "X")</f>
        <v/>
      </c>
      <c r="S46" s="24">
        <f>COUNTIF(S$6:S$45, "X")</f>
        <v/>
      </c>
      <c r="T46" s="24">
        <f>COUNTIF(T$6:T$45, "X")</f>
        <v/>
      </c>
      <c r="U46" s="24">
        <f>COUNTIF(U$6:U$45, "X")</f>
        <v/>
      </c>
      <c r="V46" s="24">
        <f>COUNTIF(V$6:V$45, "X")</f>
        <v/>
      </c>
      <c r="W46" s="25" t="inlineStr">
        <is>
          <t>100.0%</t>
        </is>
      </c>
    </row>
    <row r="47" ht="24" customHeight="1">
      <c r="A47" s="26" t="inlineStr">
        <is>
          <t>PESO ASIGNADO A LA TAREA EN SU TRIMESTRE (Editable)</t>
        </is>
      </c>
      <c r="H47" s="27" t="n">
        <v>0.15</v>
      </c>
      <c r="I47" s="27" t="n">
        <v>0.15</v>
      </c>
      <c r="J47" s="27" t="n">
        <v>0.15</v>
      </c>
      <c r="K47" s="27" t="n">
        <v>0.15</v>
      </c>
      <c r="L47" s="27" t="n">
        <v>0.15</v>
      </c>
      <c r="M47" s="27" t="n">
        <v>0.2</v>
      </c>
      <c r="N47" s="27" t="n">
        <v>0.05</v>
      </c>
      <c r="O47" s="27" t="n">
        <v>0.1</v>
      </c>
      <c r="P47" s="27" t="n">
        <v>0.1</v>
      </c>
      <c r="Q47" s="27" t="n">
        <v>0.1</v>
      </c>
      <c r="R47" s="27" t="n">
        <v>0.1</v>
      </c>
      <c r="S47" s="27" t="n">
        <v>0.1</v>
      </c>
      <c r="T47" s="27" t="n">
        <v>0.25</v>
      </c>
      <c r="U47" s="27" t="n">
        <v>0.2</v>
      </c>
      <c r="V47" s="27" t="n">
        <v>0.05</v>
      </c>
      <c r="W47" s="28" t="inlineStr"/>
    </row>
  </sheetData>
  <mergeCells count="8">
    <mergeCell ref="A1:W1"/>
    <mergeCell ref="H4:N4"/>
    <mergeCell ref="W4:W5"/>
    <mergeCell ref="A4:G4"/>
    <mergeCell ref="A2:W2"/>
    <mergeCell ref="O4:V4"/>
    <mergeCell ref="A47:G47"/>
    <mergeCell ref="A46:G46"/>
  </mergeCells>
  <conditionalFormatting sqref="G6:G45">
    <cfRule type="cellIs" priority="1" operator="equal" dxfId="0" stopIfTrue="1">
      <formula>"EVALUADO"</formula>
    </cfRule>
    <cfRule type="cellIs" priority="2" operator="equal" dxfId="1" stopIfTrue="1">
      <formula>"SIN EVALUAR"</formula>
    </cfRule>
  </conditionalFormatting>
  <conditionalFormatting sqref="H6:V45">
    <cfRule type="cellIs" priority="3" operator="equal" dxfId="2" stopIfTrue="1">
      <formula>"X"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10" customWidth="1" min="18" max="18"/>
    <col width="15" customWidth="1" min="19" max="19"/>
    <col width="15" customWidth="1" min="20" max="20"/>
  </cols>
  <sheetData>
    <row r="1" ht="36" customHeight="1">
      <c r="A1" s="1" t="inlineStr">
        <is>
          <t>REGISTRO DE CALIFICACIONES POR TAREA — DESARROLLO DE INTERFACES (2º DAM)</t>
        </is>
      </c>
    </row>
    <row r="2" ht="20" customHeight="1">
      <c r="A2" s="2" t="inlineStr">
        <is>
          <t>Introduce las calificaciones obtenidas por cada alumno/a (0 a 10). Las notas trimestrales y el progreso por criterios se calculan en tiempo real.</t>
        </is>
      </c>
    </row>
    <row r="4">
      <c r="A4" s="3" t="inlineStr">
        <is>
          <t>DATOS DEL ALUMNADO</t>
        </is>
      </c>
      <c r="D4" s="4" t="inlineStr">
        <is>
          <t>TAREAS 1er TRIMESTRE (T1)</t>
        </is>
      </c>
      <c r="K4" s="5" t="inlineStr">
        <is>
          <t>TAREAS 2º TRIMESTRE (T2)</t>
        </is>
      </c>
      <c r="S4" s="6" t="inlineStr">
        <is>
          <t>CALIFICACIONES TRIMESTRALES</t>
        </is>
      </c>
    </row>
    <row r="5" ht="36" customHeight="1">
      <c r="A5" s="29" t="inlineStr">
        <is>
          <t>Nº</t>
        </is>
      </c>
      <c r="B5" s="29" t="inlineStr">
        <is>
          <t>Apellidos, Nombre</t>
        </is>
      </c>
      <c r="C5" s="29" t="inlineStr">
        <is>
          <t>Grupo</t>
        </is>
      </c>
      <c r="D5" s="8" t="inlineStr">
        <is>
          <t>T01 (15%)
Figma UX</t>
        </is>
      </c>
      <c r="E5" s="8" t="inlineStr">
        <is>
          <t>T02 (15%)
NUI Voz</t>
        </is>
      </c>
      <c r="F5" s="8" t="inlineStr">
        <is>
          <t>T03 (15%)
Tailwind</t>
        </is>
      </c>
      <c r="G5" s="8" t="inlineStr">
        <is>
          <t>T04 (15%)
Accesib.</t>
        </is>
      </c>
      <c r="H5" s="8" t="inlineStr">
        <is>
          <t>T05 (15%)
Angular</t>
        </is>
      </c>
      <c r="I5" s="8" t="inlineStr">
        <is>
          <t>T06 (20%)
Examen T1</t>
        </is>
      </c>
      <c r="J5" s="8" t="inlineStr">
        <is>
          <t>T07 (5%)
Git T1</t>
        </is>
      </c>
      <c r="K5" s="9" t="inlineStr">
        <is>
          <t>T08 (10%)
Forms A11y</t>
        </is>
      </c>
      <c r="L5" s="9" t="inlineStr">
        <is>
          <t>T09 (10%)
Storybook</t>
        </is>
      </c>
      <c r="M5" s="9" t="inlineStr">
        <is>
          <t>T10 (10%)
Informes</t>
        </is>
      </c>
      <c r="N5" s="9" t="inlineStr">
        <is>
          <t>T11 (10%)
Vitest/E2E</t>
        </is>
      </c>
      <c r="O5" s="9" t="inlineStr">
        <is>
          <t>T12 (10%)
Electron</t>
        </is>
      </c>
      <c r="P5" s="9" t="inlineStr">
        <is>
          <t>T13 (25%)
GesFlow</t>
        </is>
      </c>
      <c r="Q5" s="9" t="inlineStr">
        <is>
          <t>T14 (20%)
Examen T2</t>
        </is>
      </c>
      <c r="R5" s="9" t="inlineStr">
        <is>
          <t>T15 (5%)
Git T2</t>
        </is>
      </c>
      <c r="S5" s="30" t="inlineStr">
        <is>
          <t>1º TRIMESTRE
(Ponderado T1)</t>
        </is>
      </c>
      <c r="T5" s="30" t="inlineStr">
        <is>
          <t>2º TRIMESTRE
(Ponderado T2)</t>
        </is>
      </c>
    </row>
    <row r="6" ht="20" customHeight="1">
      <c r="A6" s="13" t="n">
        <v>1</v>
      </c>
      <c r="B6" s="31" t="inlineStr">
        <is>
          <t>Álvarez Gómez, Laura</t>
        </is>
      </c>
      <c r="C6" s="13" t="inlineStr">
        <is>
          <t>2º DAM</t>
        </is>
      </c>
      <c r="D6" s="32" t="n">
        <v>8.5</v>
      </c>
      <c r="E6" s="32" t="n">
        <v>9</v>
      </c>
      <c r="F6" s="32" t="n">
        <v>8</v>
      </c>
      <c r="G6" s="32" t="n">
        <v>8.5</v>
      </c>
      <c r="H6" s="32" t="n">
        <v>9</v>
      </c>
      <c r="I6" s="32" t="n">
        <v>8.5</v>
      </c>
      <c r="J6" s="32" t="n">
        <v>9</v>
      </c>
      <c r="K6" s="32" t="n">
        <v>8.5</v>
      </c>
      <c r="L6" s="32" t="n">
        <v>9</v>
      </c>
      <c r="M6" s="32" t="n">
        <v>8.5</v>
      </c>
      <c r="N6" s="32" t="n">
        <v>9</v>
      </c>
      <c r="O6" s="32" t="n">
        <v>8.5</v>
      </c>
      <c r="P6" s="32" t="n">
        <v>9</v>
      </c>
      <c r="Q6" s="32" t="n">
        <v>8.5</v>
      </c>
      <c r="R6" s="32" t="n">
        <v>9.5</v>
      </c>
      <c r="S6" s="33">
        <f>D6*'Matriz Criterios'!H$47 + E6*'Matriz Criterios'!I$47 + F6*'Matriz Criterios'!J$47 + G6*'Matriz Criterios'!K$47 + H6*'Matriz Criterios'!L$47 + I6*'Matriz Criterios'!M$47 + J6*'Matriz Criterios'!N$47</f>
        <v/>
      </c>
      <c r="T6" s="34">
        <f>K6*'Matriz Criterios'!O$47 + L6*'Matriz Criterios'!P$47 + M6*'Matriz Criterios'!Q$47 + N6*'Matriz Criterios'!R$47 + O6*'Matriz Criterios'!S$47 + P6*'Matriz Criterios'!T$47 + Q6*'Matriz Criterios'!U$47 + R6*'Matriz Criterios'!V$47</f>
        <v/>
      </c>
    </row>
    <row r="7" ht="20" customHeight="1">
      <c r="A7" s="21" t="n">
        <v>2</v>
      </c>
      <c r="B7" s="35" t="inlineStr">
        <is>
          <t>Benítez Romero, Carlos</t>
        </is>
      </c>
      <c r="C7" s="21" t="inlineStr">
        <is>
          <t>2º DAM</t>
        </is>
      </c>
      <c r="D7" s="36" t="n">
        <v>6</v>
      </c>
      <c r="E7" s="36" t="n">
        <v>5.5</v>
      </c>
      <c r="F7" s="36" t="n">
        <v>6.5</v>
      </c>
      <c r="G7" s="36" t="n">
        <v>7</v>
      </c>
      <c r="H7" s="36" t="n">
        <v>6</v>
      </c>
      <c r="I7" s="36" t="n">
        <v>6</v>
      </c>
      <c r="J7" s="36" t="n">
        <v>7</v>
      </c>
      <c r="K7" s="36" t="n">
        <v>6.5</v>
      </c>
      <c r="L7" s="36" t="n">
        <v>6</v>
      </c>
      <c r="M7" s="36" t="n">
        <v>7</v>
      </c>
      <c r="N7" s="36" t="n">
        <v>6.5</v>
      </c>
      <c r="O7" s="36" t="n">
        <v>6</v>
      </c>
      <c r="P7" s="36" t="n">
        <v>6.5</v>
      </c>
      <c r="Q7" s="36" t="n">
        <v>6</v>
      </c>
      <c r="R7" s="36" t="n">
        <v>7</v>
      </c>
      <c r="S7" s="33">
        <f>D7*'Matriz Criterios'!H$47 + E7*'Matriz Criterios'!I$47 + F7*'Matriz Criterios'!J$47 + G7*'Matriz Criterios'!K$47 + H7*'Matriz Criterios'!L$47 + I7*'Matriz Criterios'!M$47 + J7*'Matriz Criterios'!N$47</f>
        <v/>
      </c>
      <c r="T7" s="34">
        <f>K7*'Matriz Criterios'!O$47 + L7*'Matriz Criterios'!P$47 + M7*'Matriz Criterios'!Q$47 + N7*'Matriz Criterios'!R$47 + O7*'Matriz Criterios'!S$47 + P7*'Matriz Criterios'!T$47 + Q7*'Matriz Criterios'!U$47 + R7*'Matriz Criterios'!V$47</f>
        <v/>
      </c>
    </row>
    <row r="8" ht="20" customHeight="1">
      <c r="A8" s="13" t="n">
        <v>3</v>
      </c>
      <c r="B8" s="31" t="inlineStr">
        <is>
          <t>Castillo Morales, Elena</t>
        </is>
      </c>
      <c r="C8" s="13" t="inlineStr">
        <is>
          <t>2º DAM</t>
        </is>
      </c>
      <c r="D8" s="32" t="n">
        <v>9.5</v>
      </c>
      <c r="E8" s="32" t="n">
        <v>9</v>
      </c>
      <c r="F8" s="32" t="n">
        <v>10</v>
      </c>
      <c r="G8" s="32" t="n">
        <v>9.5</v>
      </c>
      <c r="H8" s="32" t="n">
        <v>10</v>
      </c>
      <c r="I8" s="32" t="n">
        <v>9.5</v>
      </c>
      <c r="J8" s="32" t="n">
        <v>10</v>
      </c>
      <c r="K8" s="32" t="n">
        <v>10</v>
      </c>
      <c r="L8" s="32" t="n">
        <v>9.5</v>
      </c>
      <c r="M8" s="32" t="n">
        <v>9.5</v>
      </c>
      <c r="N8" s="32" t="n">
        <v>10</v>
      </c>
      <c r="O8" s="32" t="n">
        <v>9.5</v>
      </c>
      <c r="P8" s="32" t="n">
        <v>10</v>
      </c>
      <c r="Q8" s="32" t="n">
        <v>10</v>
      </c>
      <c r="R8" s="32" t="n">
        <v>10</v>
      </c>
      <c r="S8" s="33">
        <f>D8*'Matriz Criterios'!H$47 + E8*'Matriz Criterios'!I$47 + F8*'Matriz Criterios'!J$47 + G8*'Matriz Criterios'!K$47 + H8*'Matriz Criterios'!L$47 + I8*'Matriz Criterios'!M$47 + J8*'Matriz Criterios'!N$47</f>
        <v/>
      </c>
      <c r="T8" s="34">
        <f>K8*'Matriz Criterios'!O$47 + L8*'Matriz Criterios'!P$47 + M8*'Matriz Criterios'!Q$47 + N8*'Matriz Criterios'!R$47 + O8*'Matriz Criterios'!S$47 + P8*'Matriz Criterios'!T$47 + Q8*'Matriz Criterios'!U$47 + R8*'Matriz Criterios'!V$47</f>
        <v/>
      </c>
    </row>
    <row r="9" ht="20" customHeight="1">
      <c r="A9" s="21" t="n">
        <v>4</v>
      </c>
      <c r="B9" s="35" t="inlineStr">
        <is>
          <t>Delgado Santos, Alejandro</t>
        </is>
      </c>
      <c r="C9" s="21" t="inlineStr">
        <is>
          <t>2º DAM</t>
        </is>
      </c>
      <c r="D9" s="36" t="n">
        <v>4</v>
      </c>
      <c r="E9" s="36" t="n">
        <v>5</v>
      </c>
      <c r="F9" s="36" t="n">
        <v>4.5</v>
      </c>
      <c r="G9" s="36" t="n">
        <v>5.5</v>
      </c>
      <c r="H9" s="36" t="n">
        <v>4</v>
      </c>
      <c r="I9" s="36" t="n">
        <v>4.5</v>
      </c>
      <c r="J9" s="36" t="n">
        <v>6</v>
      </c>
      <c r="K9" s="36" t="n">
        <v>5</v>
      </c>
      <c r="L9" s="36" t="n">
        <v>4.5</v>
      </c>
      <c r="M9" s="36" t="n">
        <v>5</v>
      </c>
      <c r="N9" s="36" t="n">
        <v>4.5</v>
      </c>
      <c r="O9" s="36" t="n">
        <v>5</v>
      </c>
      <c r="P9" s="36" t="n">
        <v>4.5</v>
      </c>
      <c r="Q9" s="36" t="n">
        <v>4</v>
      </c>
      <c r="R9" s="36" t="n">
        <v>5</v>
      </c>
      <c r="S9" s="33">
        <f>D9*'Matriz Criterios'!H$47 + E9*'Matriz Criterios'!I$47 + F9*'Matriz Criterios'!J$47 + G9*'Matriz Criterios'!K$47 + H9*'Matriz Criterios'!L$47 + I9*'Matriz Criterios'!M$47 + J9*'Matriz Criterios'!N$47</f>
        <v/>
      </c>
      <c r="T9" s="34">
        <f>K9*'Matriz Criterios'!O$47 + L9*'Matriz Criterios'!P$47 + M9*'Matriz Criterios'!Q$47 + N9*'Matriz Criterios'!R$47 + O9*'Matriz Criterios'!S$47 + P9*'Matriz Criterios'!T$47 + Q9*'Matriz Criterios'!U$47 + R9*'Matriz Criterios'!V$47</f>
        <v/>
      </c>
    </row>
    <row r="10" ht="20" customHeight="1">
      <c r="A10" s="13" t="n">
        <v>5</v>
      </c>
      <c r="B10" s="31" t="inlineStr">
        <is>
          <t>Fernández Navarro, Lucía</t>
        </is>
      </c>
      <c r="C10" s="13" t="inlineStr">
        <is>
          <t>2º DAM</t>
        </is>
      </c>
      <c r="D10" s="32" t="n">
        <v>7.5</v>
      </c>
      <c r="E10" s="32" t="n">
        <v>8</v>
      </c>
      <c r="F10" s="32" t="n">
        <v>7</v>
      </c>
      <c r="G10" s="32" t="n">
        <v>7.5</v>
      </c>
      <c r="H10" s="32" t="n">
        <v>8</v>
      </c>
      <c r="I10" s="32" t="n">
        <v>7.5</v>
      </c>
      <c r="J10" s="32" t="n">
        <v>8.5</v>
      </c>
      <c r="K10" s="32" t="n">
        <v>7.5</v>
      </c>
      <c r="L10" s="32" t="n">
        <v>8</v>
      </c>
      <c r="M10" s="32" t="n">
        <v>8</v>
      </c>
      <c r="N10" s="32" t="n">
        <v>7.5</v>
      </c>
      <c r="O10" s="32" t="n">
        <v>8</v>
      </c>
      <c r="P10" s="32" t="n">
        <v>7.5</v>
      </c>
      <c r="Q10" s="32" t="n">
        <v>8</v>
      </c>
      <c r="R10" s="32" t="n">
        <v>8.5</v>
      </c>
      <c r="S10" s="33">
        <f>D10*'Matriz Criterios'!H$47 + E10*'Matriz Criterios'!I$47 + F10*'Matriz Criterios'!J$47 + G10*'Matriz Criterios'!K$47 + H10*'Matriz Criterios'!L$47 + I10*'Matriz Criterios'!M$47 + J10*'Matriz Criterios'!N$47</f>
        <v/>
      </c>
      <c r="T10" s="34">
        <f>K10*'Matriz Criterios'!O$47 + L10*'Matriz Criterios'!P$47 + M10*'Matriz Criterios'!Q$47 + N10*'Matriz Criterios'!R$47 + O10*'Matriz Criterios'!S$47 + P10*'Matriz Criterios'!T$47 + Q10*'Matriz Criterios'!U$47 + R10*'Matriz Criterios'!V$47</f>
        <v/>
      </c>
    </row>
    <row r="11" ht="20" customHeight="1">
      <c r="A11" s="21" t="n">
        <v>6</v>
      </c>
      <c r="B11" s="35" t="inlineStr">
        <is>
          <t>García Serrano, David</t>
        </is>
      </c>
      <c r="C11" s="21" t="inlineStr">
        <is>
          <t>2º DAM</t>
        </is>
      </c>
      <c r="D11" s="36" t="n">
        <v>8</v>
      </c>
      <c r="E11" s="36" t="n">
        <v>7.5</v>
      </c>
      <c r="F11" s="36" t="n">
        <v>8.5</v>
      </c>
      <c r="G11" s="36" t="n">
        <v>8</v>
      </c>
      <c r="H11" s="36" t="n">
        <v>8.5</v>
      </c>
      <c r="I11" s="36" t="n">
        <v>8</v>
      </c>
      <c r="J11" s="36" t="n">
        <v>8.5</v>
      </c>
      <c r="K11" s="36" t="n">
        <v>8</v>
      </c>
      <c r="L11" s="36" t="n">
        <v>8.5</v>
      </c>
      <c r="M11" s="36" t="n">
        <v>8</v>
      </c>
      <c r="N11" s="36" t="n">
        <v>8.5</v>
      </c>
      <c r="O11" s="36" t="n">
        <v>8</v>
      </c>
      <c r="P11" s="36" t="n">
        <v>8.5</v>
      </c>
      <c r="Q11" s="36" t="n">
        <v>8</v>
      </c>
      <c r="R11" s="36" t="n">
        <v>8.5</v>
      </c>
      <c r="S11" s="33">
        <f>D11*'Matriz Criterios'!H$47 + E11*'Matriz Criterios'!I$47 + F11*'Matriz Criterios'!J$47 + G11*'Matriz Criterios'!K$47 + H11*'Matriz Criterios'!L$47 + I11*'Matriz Criterios'!M$47 + J11*'Matriz Criterios'!N$47</f>
        <v/>
      </c>
      <c r="T11" s="34">
        <f>K11*'Matriz Criterios'!O$47 + L11*'Matriz Criterios'!P$47 + M11*'Matriz Criterios'!Q$47 + N11*'Matriz Criterios'!R$47 + O11*'Matriz Criterios'!S$47 + P11*'Matriz Criterios'!T$47 + Q11*'Matriz Criterios'!U$47 + R11*'Matriz Criterios'!V$47</f>
        <v/>
      </c>
    </row>
    <row r="12" ht="20" customHeight="1">
      <c r="A12" s="13" t="n">
        <v>7</v>
      </c>
      <c r="B12" s="31" t="inlineStr">
        <is>
          <t>Herrera Cruz, Marta</t>
        </is>
      </c>
      <c r="C12" s="13" t="inlineStr">
        <is>
          <t>2º DAM</t>
        </is>
      </c>
      <c r="D12" s="32" t="n">
        <v>9</v>
      </c>
      <c r="E12" s="32" t="n">
        <v>8.5</v>
      </c>
      <c r="F12" s="32" t="n">
        <v>9.5</v>
      </c>
      <c r="G12" s="32" t="n">
        <v>9</v>
      </c>
      <c r="H12" s="32" t="n">
        <v>9</v>
      </c>
      <c r="I12" s="32" t="n">
        <v>9</v>
      </c>
      <c r="J12" s="32" t="n">
        <v>9.5</v>
      </c>
      <c r="K12" s="32" t="n">
        <v>9</v>
      </c>
      <c r="L12" s="32" t="n">
        <v>9.5</v>
      </c>
      <c r="M12" s="32" t="n">
        <v>9</v>
      </c>
      <c r="N12" s="32" t="n">
        <v>9.5</v>
      </c>
      <c r="O12" s="32" t="n">
        <v>9</v>
      </c>
      <c r="P12" s="32" t="n">
        <v>9.5</v>
      </c>
      <c r="Q12" s="32" t="n">
        <v>9</v>
      </c>
      <c r="R12" s="32" t="n">
        <v>9.5</v>
      </c>
      <c r="S12" s="33">
        <f>D12*'Matriz Criterios'!H$47 + E12*'Matriz Criterios'!I$47 + F12*'Matriz Criterios'!J$47 + G12*'Matriz Criterios'!K$47 + H12*'Matriz Criterios'!L$47 + I12*'Matriz Criterios'!M$47 + J12*'Matriz Criterios'!N$47</f>
        <v/>
      </c>
      <c r="T12" s="34">
        <f>K12*'Matriz Criterios'!O$47 + L12*'Matriz Criterios'!P$47 + M12*'Matriz Criterios'!Q$47 + N12*'Matriz Criterios'!R$47 + O12*'Matriz Criterios'!S$47 + P12*'Matriz Criterios'!T$47 + Q12*'Matriz Criterios'!U$47 + R12*'Matriz Criterios'!V$47</f>
        <v/>
      </c>
    </row>
    <row r="13" ht="20" customHeight="1">
      <c r="A13" s="21" t="n">
        <v>8</v>
      </c>
      <c r="B13" s="35" t="inlineStr">
        <is>
          <t>Jiménez Ortiz, Pablo</t>
        </is>
      </c>
      <c r="C13" s="21" t="inlineStr">
        <is>
          <t>2º DAM</t>
        </is>
      </c>
      <c r="D13" s="36" t="n">
        <v>5</v>
      </c>
      <c r="E13" s="36" t="n">
        <v>6</v>
      </c>
      <c r="F13" s="36" t="n">
        <v>5.5</v>
      </c>
      <c r="G13" s="36" t="n">
        <v>5</v>
      </c>
      <c r="H13" s="36" t="n">
        <v>6</v>
      </c>
      <c r="I13" s="36" t="n">
        <v>5.5</v>
      </c>
      <c r="J13" s="36" t="n">
        <v>6.5</v>
      </c>
      <c r="K13" s="36" t="n">
        <v>5.5</v>
      </c>
      <c r="L13" s="36" t="n">
        <v>6</v>
      </c>
      <c r="M13" s="36" t="n">
        <v>5.5</v>
      </c>
      <c r="N13" s="36" t="n">
        <v>6</v>
      </c>
      <c r="O13" s="36" t="n">
        <v>5.5</v>
      </c>
      <c r="P13" s="36" t="n">
        <v>6</v>
      </c>
      <c r="Q13" s="36" t="n">
        <v>5.5</v>
      </c>
      <c r="R13" s="36" t="n">
        <v>6.5</v>
      </c>
      <c r="S13" s="33">
        <f>D13*'Matriz Criterios'!H$47 + E13*'Matriz Criterios'!I$47 + F13*'Matriz Criterios'!J$47 + G13*'Matriz Criterios'!K$47 + H13*'Matriz Criterios'!L$47 + I13*'Matriz Criterios'!M$47 + J13*'Matriz Criterios'!N$47</f>
        <v/>
      </c>
      <c r="T13" s="34">
        <f>K13*'Matriz Criterios'!O$47 + L13*'Matriz Criterios'!P$47 + M13*'Matriz Criterios'!Q$47 + N13*'Matriz Criterios'!R$47 + O13*'Matriz Criterios'!S$47 + P13*'Matriz Criterios'!T$47 + Q13*'Matriz Criterios'!U$47 + R13*'Matriz Criterios'!V$47</f>
        <v/>
      </c>
    </row>
    <row r="14" ht="20" customHeight="1">
      <c r="A14" s="13" t="n">
        <v>9</v>
      </c>
      <c r="B14" s="31" t="inlineStr">
        <is>
          <t>López Molina, Sara</t>
        </is>
      </c>
      <c r="C14" s="13" t="inlineStr">
        <is>
          <t>2º DAM</t>
        </is>
      </c>
      <c r="D14" s="32" t="n">
        <v>10</v>
      </c>
      <c r="E14" s="32" t="n">
        <v>9.5</v>
      </c>
      <c r="F14" s="32" t="n">
        <v>9.5</v>
      </c>
      <c r="G14" s="32" t="n">
        <v>10</v>
      </c>
      <c r="H14" s="32" t="n">
        <v>9.5</v>
      </c>
      <c r="I14" s="32" t="n">
        <v>10</v>
      </c>
      <c r="J14" s="32" t="n">
        <v>10</v>
      </c>
      <c r="K14" s="32" t="n">
        <v>10</v>
      </c>
      <c r="L14" s="32" t="n">
        <v>9.5</v>
      </c>
      <c r="M14" s="32" t="n">
        <v>10</v>
      </c>
      <c r="N14" s="32" t="n">
        <v>10</v>
      </c>
      <c r="O14" s="32" t="n">
        <v>9.5</v>
      </c>
      <c r="P14" s="32" t="n">
        <v>10</v>
      </c>
      <c r="Q14" s="32" t="n">
        <v>10</v>
      </c>
      <c r="R14" s="32" t="n">
        <v>10</v>
      </c>
      <c r="S14" s="33">
        <f>D14*'Matriz Criterios'!H$47 + E14*'Matriz Criterios'!I$47 + F14*'Matriz Criterios'!J$47 + G14*'Matriz Criterios'!K$47 + H14*'Matriz Criterios'!L$47 + I14*'Matriz Criterios'!M$47 + J14*'Matriz Criterios'!N$47</f>
        <v/>
      </c>
      <c r="T14" s="34">
        <f>K14*'Matriz Criterios'!O$47 + L14*'Matriz Criterios'!P$47 + M14*'Matriz Criterios'!Q$47 + N14*'Matriz Criterios'!R$47 + O14*'Matriz Criterios'!S$47 + P14*'Matriz Criterios'!T$47 + Q14*'Matriz Criterios'!U$47 + R14*'Matriz Criterios'!V$47</f>
        <v/>
      </c>
    </row>
    <row r="15" ht="20" customHeight="1">
      <c r="A15" s="21" t="n">
        <v>10</v>
      </c>
      <c r="B15" s="35" t="inlineStr">
        <is>
          <t>Martín Vega, Javier</t>
        </is>
      </c>
      <c r="C15" s="21" t="inlineStr">
        <is>
          <t>2º DAM</t>
        </is>
      </c>
      <c r="D15" s="36" t="n">
        <v>3.5</v>
      </c>
      <c r="E15" s="36" t="n">
        <v>4</v>
      </c>
      <c r="F15" s="36" t="n">
        <v>4</v>
      </c>
      <c r="G15" s="36" t="n">
        <v>4.5</v>
      </c>
      <c r="H15" s="36" t="n">
        <v>4</v>
      </c>
      <c r="I15" s="36" t="n">
        <v>3.5</v>
      </c>
      <c r="J15" s="36" t="n">
        <v>5</v>
      </c>
      <c r="K15" s="36" t="n">
        <v>4</v>
      </c>
      <c r="L15" s="36" t="n">
        <v>4.5</v>
      </c>
      <c r="M15" s="36" t="n">
        <v>4</v>
      </c>
      <c r="N15" s="36" t="n">
        <v>4</v>
      </c>
      <c r="O15" s="36" t="n">
        <v>4.5</v>
      </c>
      <c r="P15" s="36" t="n">
        <v>4</v>
      </c>
      <c r="Q15" s="36" t="n">
        <v>4</v>
      </c>
      <c r="R15" s="36" t="n">
        <v>4.5</v>
      </c>
      <c r="S15" s="33">
        <f>D15*'Matriz Criterios'!H$47 + E15*'Matriz Criterios'!I$47 + F15*'Matriz Criterios'!J$47 + G15*'Matriz Criterios'!K$47 + H15*'Matriz Criterios'!L$47 + I15*'Matriz Criterios'!M$47 + J15*'Matriz Criterios'!N$47</f>
        <v/>
      </c>
      <c r="T15" s="34">
        <f>K15*'Matriz Criterios'!O$47 + L15*'Matriz Criterios'!P$47 + M15*'Matriz Criterios'!Q$47 + N15*'Matriz Criterios'!R$47 + O15*'Matriz Criterios'!S$47 + P15*'Matriz Criterios'!T$47 + Q15*'Matriz Criterios'!U$47 + R15*'Matriz Criterios'!V$47</f>
        <v/>
      </c>
    </row>
    <row r="16" ht="20" customHeight="1">
      <c r="A16" s="13" t="n">
        <v>11</v>
      </c>
      <c r="B16" s="31" t="inlineStr">
        <is>
          <t>Navarro Gil, Ana</t>
        </is>
      </c>
      <c r="C16" s="13" t="inlineStr">
        <is>
          <t>2º DAM</t>
        </is>
      </c>
      <c r="D16" s="32" t="n">
        <v>8</v>
      </c>
      <c r="E16" s="32" t="n">
        <v>8.5</v>
      </c>
      <c r="F16" s="32" t="n">
        <v>8</v>
      </c>
      <c r="G16" s="32" t="n">
        <v>8.5</v>
      </c>
      <c r="H16" s="32" t="n">
        <v>8</v>
      </c>
      <c r="I16" s="32" t="n">
        <v>8.5</v>
      </c>
      <c r="J16" s="32" t="n">
        <v>9</v>
      </c>
      <c r="K16" s="32" t="n">
        <v>8.5</v>
      </c>
      <c r="L16" s="32" t="n">
        <v>8</v>
      </c>
      <c r="M16" s="32" t="n">
        <v>8.5</v>
      </c>
      <c r="N16" s="32" t="n">
        <v>8.5</v>
      </c>
      <c r="O16" s="32" t="n">
        <v>8</v>
      </c>
      <c r="P16" s="32" t="n">
        <v>8.5</v>
      </c>
      <c r="Q16" s="32" t="n">
        <v>8.5</v>
      </c>
      <c r="R16" s="32" t="n">
        <v>9</v>
      </c>
      <c r="S16" s="33">
        <f>D16*'Matriz Criterios'!H$47 + E16*'Matriz Criterios'!I$47 + F16*'Matriz Criterios'!J$47 + G16*'Matriz Criterios'!K$47 + H16*'Matriz Criterios'!L$47 + I16*'Matriz Criterios'!M$47 + J16*'Matriz Criterios'!N$47</f>
        <v/>
      </c>
      <c r="T16" s="34">
        <f>K16*'Matriz Criterios'!O$47 + L16*'Matriz Criterios'!P$47 + M16*'Matriz Criterios'!Q$47 + N16*'Matriz Criterios'!R$47 + O16*'Matriz Criterios'!S$47 + P16*'Matriz Criterios'!T$47 + Q16*'Matriz Criterios'!U$47 + R16*'Matriz Criterios'!V$47</f>
        <v/>
      </c>
    </row>
    <row r="17" ht="20" customHeight="1">
      <c r="A17" s="21" t="n">
        <v>12</v>
      </c>
      <c r="B17" s="35" t="inlineStr">
        <is>
          <t>Pérez Rubio, Álvaro</t>
        </is>
      </c>
      <c r="C17" s="21" t="inlineStr">
        <is>
          <t>2º DAM</t>
        </is>
      </c>
      <c r="D17" s="36" t="n">
        <v>7</v>
      </c>
      <c r="E17" s="36" t="n">
        <v>6.5</v>
      </c>
      <c r="F17" s="36" t="n">
        <v>7.5</v>
      </c>
      <c r="G17" s="36" t="n">
        <v>7</v>
      </c>
      <c r="H17" s="36" t="n">
        <v>7</v>
      </c>
      <c r="I17" s="36" t="n">
        <v>7</v>
      </c>
      <c r="J17" s="36" t="n">
        <v>7.5</v>
      </c>
      <c r="K17" s="36" t="n">
        <v>7.5</v>
      </c>
      <c r="L17" s="36" t="n">
        <v>7</v>
      </c>
      <c r="M17" s="36" t="n">
        <v>7.5</v>
      </c>
      <c r="N17" s="36" t="n">
        <v>7</v>
      </c>
      <c r="O17" s="36" t="n">
        <v>7.5</v>
      </c>
      <c r="P17" s="36" t="n">
        <v>7</v>
      </c>
      <c r="Q17" s="36" t="n">
        <v>7.5</v>
      </c>
      <c r="R17" s="36" t="n">
        <v>7.5</v>
      </c>
      <c r="S17" s="33">
        <f>D17*'Matriz Criterios'!H$47 + E17*'Matriz Criterios'!I$47 + F17*'Matriz Criterios'!J$47 + G17*'Matriz Criterios'!K$47 + H17*'Matriz Criterios'!L$47 + I17*'Matriz Criterios'!M$47 + J17*'Matriz Criterios'!N$47</f>
        <v/>
      </c>
      <c r="T17" s="34">
        <f>K17*'Matriz Criterios'!O$47 + L17*'Matriz Criterios'!P$47 + M17*'Matriz Criterios'!Q$47 + N17*'Matriz Criterios'!R$47 + O17*'Matriz Criterios'!S$47 + P17*'Matriz Criterios'!T$47 + Q17*'Matriz Criterios'!U$47 + R17*'Matriz Criterios'!V$47</f>
        <v/>
      </c>
    </row>
    <row r="18" ht="20" customHeight="1">
      <c r="A18" s="13" t="n">
        <v>13</v>
      </c>
      <c r="B18" s="31" t="inlineStr">
        <is>
          <t>Ramírez Soto, Carmen</t>
        </is>
      </c>
      <c r="C18" s="13" t="inlineStr">
        <is>
          <t>2º DAM</t>
        </is>
      </c>
      <c r="D18" s="32" t="n">
        <v>6.5</v>
      </c>
      <c r="E18" s="32" t="n">
        <v>7</v>
      </c>
      <c r="F18" s="32" t="n">
        <v>6</v>
      </c>
      <c r="G18" s="32" t="n">
        <v>6.5</v>
      </c>
      <c r="H18" s="32" t="n">
        <v>7</v>
      </c>
      <c r="I18" s="32" t="n">
        <v>6.5</v>
      </c>
      <c r="J18" s="32" t="n">
        <v>7</v>
      </c>
      <c r="K18" s="32" t="n">
        <v>7</v>
      </c>
      <c r="L18" s="32" t="n">
        <v>6.5</v>
      </c>
      <c r="M18" s="32" t="n">
        <v>7</v>
      </c>
      <c r="N18" s="32" t="n">
        <v>6.5</v>
      </c>
      <c r="O18" s="32" t="n">
        <v>7</v>
      </c>
      <c r="P18" s="32" t="n">
        <v>6.5</v>
      </c>
      <c r="Q18" s="32" t="n">
        <v>7</v>
      </c>
      <c r="R18" s="32" t="n">
        <v>7</v>
      </c>
      <c r="S18" s="33">
        <f>D18*'Matriz Criterios'!H$47 + E18*'Matriz Criterios'!I$47 + F18*'Matriz Criterios'!J$47 + G18*'Matriz Criterios'!K$47 + H18*'Matriz Criterios'!L$47 + I18*'Matriz Criterios'!M$47 + J18*'Matriz Criterios'!N$47</f>
        <v/>
      </c>
      <c r="T18" s="34">
        <f>K18*'Matriz Criterios'!O$47 + L18*'Matriz Criterios'!P$47 + M18*'Matriz Criterios'!Q$47 + N18*'Matriz Criterios'!R$47 + O18*'Matriz Criterios'!S$47 + P18*'Matriz Criterios'!T$47 + Q18*'Matriz Criterios'!U$47 + R18*'Matriz Criterios'!V$47</f>
        <v/>
      </c>
    </row>
    <row r="19" ht="20" customHeight="1">
      <c r="A19" s="21" t="n">
        <v>14</v>
      </c>
      <c r="B19" s="35" t="inlineStr">
        <is>
          <t>Sánchez Vidal, Daniel</t>
        </is>
      </c>
      <c r="C19" s="21" t="inlineStr">
        <is>
          <t>2º DAM</t>
        </is>
      </c>
      <c r="D19" s="36" t="n">
        <v>8.5</v>
      </c>
      <c r="E19" s="36" t="n">
        <v>9</v>
      </c>
      <c r="F19" s="36" t="n">
        <v>8.5</v>
      </c>
      <c r="G19" s="36" t="n">
        <v>9</v>
      </c>
      <c r="H19" s="36" t="n">
        <v>8.5</v>
      </c>
      <c r="I19" s="36" t="n">
        <v>9</v>
      </c>
      <c r="J19" s="36" t="n">
        <v>9.5</v>
      </c>
      <c r="K19" s="36" t="n">
        <v>9</v>
      </c>
      <c r="L19" s="36" t="n">
        <v>8.5</v>
      </c>
      <c r="M19" s="36" t="n">
        <v>9</v>
      </c>
      <c r="N19" s="36" t="n">
        <v>9</v>
      </c>
      <c r="O19" s="36" t="n">
        <v>8.5</v>
      </c>
      <c r="P19" s="36" t="n">
        <v>9</v>
      </c>
      <c r="Q19" s="36" t="n">
        <v>9</v>
      </c>
      <c r="R19" s="36" t="n">
        <v>9.5</v>
      </c>
      <c r="S19" s="33">
        <f>D19*'Matriz Criterios'!H$47 + E19*'Matriz Criterios'!I$47 + F19*'Matriz Criterios'!J$47 + G19*'Matriz Criterios'!K$47 + H19*'Matriz Criterios'!L$47 + I19*'Matriz Criterios'!M$47 + J19*'Matriz Criterios'!N$47</f>
        <v/>
      </c>
      <c r="T19" s="34">
        <f>K19*'Matriz Criterios'!O$47 + L19*'Matriz Criterios'!P$47 + M19*'Matriz Criterios'!Q$47 + N19*'Matriz Criterios'!R$47 + O19*'Matriz Criterios'!S$47 + P19*'Matriz Criterios'!T$47 + Q19*'Matriz Criterios'!U$47 + R19*'Matriz Criterios'!V$47</f>
        <v/>
      </c>
    </row>
    <row r="20" ht="20" customHeight="1">
      <c r="A20" s="13" t="n">
        <v>15</v>
      </c>
      <c r="B20" s="31" t="inlineStr">
        <is>
          <t>Torres Lozano, Irene</t>
        </is>
      </c>
      <c r="C20" s="13" t="inlineStr">
        <is>
          <t>2º DAM</t>
        </is>
      </c>
      <c r="D20" s="32" t="n">
        <v>9</v>
      </c>
      <c r="E20" s="32" t="n">
        <v>9.5</v>
      </c>
      <c r="F20" s="32" t="n">
        <v>9</v>
      </c>
      <c r="G20" s="32" t="n">
        <v>9.5</v>
      </c>
      <c r="H20" s="32" t="n">
        <v>9</v>
      </c>
      <c r="I20" s="32" t="n">
        <v>9.5</v>
      </c>
      <c r="J20" s="32" t="n">
        <v>9.5</v>
      </c>
      <c r="K20" s="32" t="n">
        <v>9.5</v>
      </c>
      <c r="L20" s="32" t="n">
        <v>9</v>
      </c>
      <c r="M20" s="32" t="n">
        <v>9.5</v>
      </c>
      <c r="N20" s="32" t="n">
        <v>10</v>
      </c>
      <c r="O20" s="32" t="n">
        <v>9.5</v>
      </c>
      <c r="P20" s="32" t="n">
        <v>9.5</v>
      </c>
      <c r="Q20" s="32" t="n">
        <v>9.5</v>
      </c>
      <c r="R20" s="32" t="n">
        <v>10</v>
      </c>
      <c r="S20" s="33">
        <f>D20*'Matriz Criterios'!H$47 + E20*'Matriz Criterios'!I$47 + F20*'Matriz Criterios'!J$47 + G20*'Matriz Criterios'!K$47 + H20*'Matriz Criterios'!L$47 + I20*'Matriz Criterios'!M$47 + J20*'Matriz Criterios'!N$47</f>
        <v/>
      </c>
      <c r="T20" s="34">
        <f>K20*'Matriz Criterios'!O$47 + L20*'Matriz Criterios'!P$47 + M20*'Matriz Criterios'!Q$47 + N20*'Matriz Criterios'!R$47 + O20*'Matriz Criterios'!S$47 + P20*'Matriz Criterios'!T$47 + Q20*'Matriz Criterios'!U$47 + R20*'Matriz Criterios'!V$47</f>
        <v/>
      </c>
    </row>
    <row r="21" ht="24" customHeight="1">
      <c r="A21" s="37" t="inlineStr">
        <is>
          <t>PROMEDIO DEL GRUPO</t>
        </is>
      </c>
      <c r="B21" s="28" t="n"/>
      <c r="C21" s="28" t="n"/>
      <c r="D21" s="38">
        <f>AVERAGE(D6:D20)</f>
        <v/>
      </c>
      <c r="E21" s="38">
        <f>AVERAGE(E6:E20)</f>
        <v/>
      </c>
      <c r="F21" s="38">
        <f>AVERAGE(F6:F20)</f>
        <v/>
      </c>
      <c r="G21" s="38">
        <f>AVERAGE(G6:G20)</f>
        <v/>
      </c>
      <c r="H21" s="38">
        <f>AVERAGE(H6:H20)</f>
        <v/>
      </c>
      <c r="I21" s="38">
        <f>AVERAGE(I6:I20)</f>
        <v/>
      </c>
      <c r="J21" s="38">
        <f>AVERAGE(J6:J20)</f>
        <v/>
      </c>
      <c r="K21" s="38">
        <f>AVERAGE(K6:K20)</f>
        <v/>
      </c>
      <c r="L21" s="38">
        <f>AVERAGE(L6:L20)</f>
        <v/>
      </c>
      <c r="M21" s="38">
        <f>AVERAGE(M6:M20)</f>
        <v/>
      </c>
      <c r="N21" s="38">
        <f>AVERAGE(N6:N20)</f>
        <v/>
      </c>
      <c r="O21" s="38">
        <f>AVERAGE(O6:O20)</f>
        <v/>
      </c>
      <c r="P21" s="38">
        <f>AVERAGE(P6:P20)</f>
        <v/>
      </c>
      <c r="Q21" s="38">
        <f>AVERAGE(Q6:Q20)</f>
        <v/>
      </c>
      <c r="R21" s="38">
        <f>AVERAGE(R6:R20)</f>
        <v/>
      </c>
      <c r="S21" s="38">
        <f>AVERAGE(S6:S20)</f>
        <v/>
      </c>
      <c r="T21" s="38">
        <f>AVERAGE(T6:T20)</f>
        <v/>
      </c>
    </row>
  </sheetData>
  <mergeCells count="7">
    <mergeCell ref="A1:T1"/>
    <mergeCell ref="K4:R4"/>
    <mergeCell ref="D4:J4"/>
    <mergeCell ref="A2:T2"/>
    <mergeCell ref="A21:C21"/>
    <mergeCell ref="A4:C4"/>
    <mergeCell ref="S4:T4"/>
  </mergeCells>
  <conditionalFormatting sqref="S6:T20">
    <cfRule type="cellIs" priority="1" operator="greaterThanOrEqual" dxfId="0" stopIfTrue="1">
      <formula>5.0</formula>
    </cfRule>
    <cfRule type="cellIs" priority="2" operator="lessThan" dxfId="1" stopIfTrue="1">
      <formula>5.0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2" customWidth="1" min="43" max="43"/>
    <col width="12" customWidth="1" min="44" max="44"/>
  </cols>
  <sheetData>
    <row r="1" ht="36" customHeight="1">
      <c r="A1" s="1" t="inlineStr">
        <is>
          <t>CALIFICACIÓN DETALLADA POR CRITERIOS DE EVALUACIÓN (CE1.a a CE8.e) — DESARROLLO DE INTERFACES</t>
        </is>
      </c>
    </row>
    <row r="2" ht="20" customHeight="1">
      <c r="A2" s="2" t="inlineStr">
        <is>
          <t>Cálculo matemático automático: cada criterio se calcula promediando exclusivamente las tareas donde tiene marcada una 'X' en la 'Matriz Criterios'.</t>
        </is>
      </c>
    </row>
    <row r="4">
      <c r="A4" s="3" t="inlineStr">
        <is>
          <t>ALUMNADO</t>
        </is>
      </c>
      <c r="C4" s="4" t="inlineStr">
        <is>
          <t>RA1 (22%) — Interfaces Gráficas, UX, Figma y Layouts</t>
        </is>
      </c>
      <c r="I4" s="5" t="inlineStr">
        <is>
          <t>RA2 (16%) — Interfaces Naturales (NUI, Voz, Gestos)</t>
        </is>
      </c>
      <c r="N4" s="6" t="inlineStr">
        <is>
          <t>RA3 (20%) — Componentes Angular Standalone y Forms</t>
        </is>
      </c>
      <c r="T4" s="39" t="inlineStr">
        <is>
          <t>RA4 (11%) — Accesibilidad Universal y WCAG 2.2</t>
        </is>
      </c>
      <c r="Y4" s="40" t="inlineStr">
        <is>
          <t>RA5 (4%) — Informes y Cuadros Mando</t>
        </is>
      </c>
      <c r="AC4" s="41" t="inlineStr">
        <is>
          <t>RA6 (7%) — Documentación Técnica y Storybook</t>
        </is>
      </c>
      <c r="AG4" s="4" t="inlineStr">
        <is>
          <t>RA7 (10%) — Escritorio Electron y Empaquetado</t>
        </is>
      </c>
      <c r="AL4" s="5" t="inlineStr">
        <is>
          <t>RA8 (10%) — Pruebas Vitest y Playwright E2E</t>
        </is>
      </c>
      <c r="AQ4" s="3" t="inlineStr">
        <is>
          <t>RESUMEN DE CRITERIOS</t>
        </is>
      </c>
    </row>
    <row r="5" ht="30" customHeight="1">
      <c r="A5" s="29" t="inlineStr">
        <is>
          <t>Nº</t>
        </is>
      </c>
      <c r="B5" s="42" t="inlineStr">
        <is>
          <t>Apellidos, Nombre</t>
        </is>
      </c>
      <c r="C5" s="8" t="inlineStr">
        <is>
          <t>CE1.a</t>
        </is>
      </c>
      <c r="D5" s="8" t="inlineStr">
        <is>
          <t>CE1.b</t>
        </is>
      </c>
      <c r="E5" s="8" t="inlineStr">
        <is>
          <t>CE1.c</t>
        </is>
      </c>
      <c r="F5" s="8" t="inlineStr">
        <is>
          <t>CE1.d</t>
        </is>
      </c>
      <c r="G5" s="8" t="inlineStr">
        <is>
          <t>CE1.e</t>
        </is>
      </c>
      <c r="H5" s="8" t="inlineStr">
        <is>
          <t>CE1.f</t>
        </is>
      </c>
      <c r="I5" s="9" t="inlineStr">
        <is>
          <t>CE2.a</t>
        </is>
      </c>
      <c r="J5" s="9" t="inlineStr">
        <is>
          <t>CE2.b</t>
        </is>
      </c>
      <c r="K5" s="9" t="inlineStr">
        <is>
          <t>CE2.c</t>
        </is>
      </c>
      <c r="L5" s="9" t="inlineStr">
        <is>
          <t>CE2.d</t>
        </is>
      </c>
      <c r="M5" s="9" t="inlineStr">
        <is>
          <t>CE2.e</t>
        </is>
      </c>
      <c r="N5" s="30" t="inlineStr">
        <is>
          <t>CE3.a</t>
        </is>
      </c>
      <c r="O5" s="30" t="inlineStr">
        <is>
          <t>CE3.b</t>
        </is>
      </c>
      <c r="P5" s="30" t="inlineStr">
        <is>
          <t>CE3.c</t>
        </is>
      </c>
      <c r="Q5" s="30" t="inlineStr">
        <is>
          <t>CE3.d</t>
        </is>
      </c>
      <c r="R5" s="30" t="inlineStr">
        <is>
          <t>CE3.e</t>
        </is>
      </c>
      <c r="S5" s="30" t="inlineStr">
        <is>
          <t>CE3.f</t>
        </is>
      </c>
      <c r="T5" s="43" t="inlineStr">
        <is>
          <t>CE4.a</t>
        </is>
      </c>
      <c r="U5" s="43" t="inlineStr">
        <is>
          <t>CE4.b</t>
        </is>
      </c>
      <c r="V5" s="43" t="inlineStr">
        <is>
          <t>CE4.c</t>
        </is>
      </c>
      <c r="W5" s="43" t="inlineStr">
        <is>
          <t>CE4.d</t>
        </is>
      </c>
      <c r="X5" s="43" t="inlineStr">
        <is>
          <t>CE4.e</t>
        </is>
      </c>
      <c r="Y5" s="44" t="inlineStr">
        <is>
          <t>CE5.a</t>
        </is>
      </c>
      <c r="Z5" s="44" t="inlineStr">
        <is>
          <t>CE5.b</t>
        </is>
      </c>
      <c r="AA5" s="44" t="inlineStr">
        <is>
          <t>CE5.c</t>
        </is>
      </c>
      <c r="AB5" s="44" t="inlineStr">
        <is>
          <t>CE5.d</t>
        </is>
      </c>
      <c r="AC5" s="7" t="inlineStr">
        <is>
          <t>CE6.a</t>
        </is>
      </c>
      <c r="AD5" s="7" t="inlineStr">
        <is>
          <t>CE6.b</t>
        </is>
      </c>
      <c r="AE5" s="7" t="inlineStr">
        <is>
          <t>CE6.c</t>
        </is>
      </c>
      <c r="AF5" s="7" t="inlineStr">
        <is>
          <t>CE6.d</t>
        </is>
      </c>
      <c r="AG5" s="8" t="inlineStr">
        <is>
          <t>CE7.a</t>
        </is>
      </c>
      <c r="AH5" s="8" t="inlineStr">
        <is>
          <t>CE7.b</t>
        </is>
      </c>
      <c r="AI5" s="8" t="inlineStr">
        <is>
          <t>CE7.c</t>
        </is>
      </c>
      <c r="AJ5" s="8" t="inlineStr">
        <is>
          <t>CE7.d</t>
        </is>
      </c>
      <c r="AK5" s="8" t="inlineStr">
        <is>
          <t>CE7.e</t>
        </is>
      </c>
      <c r="AL5" s="9" t="inlineStr">
        <is>
          <t>CE8.a</t>
        </is>
      </c>
      <c r="AM5" s="9" t="inlineStr">
        <is>
          <t>CE8.b</t>
        </is>
      </c>
      <c r="AN5" s="9" t="inlineStr">
        <is>
          <t>CE8.c</t>
        </is>
      </c>
      <c r="AO5" s="9" t="inlineStr">
        <is>
          <t>CE8.d</t>
        </is>
      </c>
      <c r="AP5" s="9" t="inlineStr">
        <is>
          <t>CE8.e</t>
        </is>
      </c>
      <c r="AQ5" s="29" t="inlineStr">
        <is>
          <t>Media CEs
Superados</t>
        </is>
      </c>
      <c r="AR5" s="29" t="inlineStr">
        <is>
          <t>Nº CEs &gt;= 5
(de 40)</t>
        </is>
      </c>
    </row>
    <row r="6" ht="20" customHeight="1">
      <c r="A6" s="13" t="n">
        <v>1</v>
      </c>
      <c r="B6" s="31" t="inlineStr">
        <is>
          <t>Álvarez Gómez, Laura</t>
        </is>
      </c>
      <c r="C6" s="32">
        <f>IF(SUMPRODUCT(('Matriz Criterios'!$H$6:$V$6="X")*ISNUMBER('Registro Notas'!$D6:$R6))=0, "-", SUMPRODUCT(('Matriz Criterios'!$H$6:$V$6="X")*ISNUMBER('Registro Notas'!$D6:$R6)*'Registro Notas'!$D6:$R6)/SUMPRODUCT(('Matriz Criterios'!$H$6:$V$6="X")*ISNUMBER('Registro Notas'!$D6:$R6)))</f>
        <v/>
      </c>
      <c r="D6" s="32">
        <f>IF(SUMPRODUCT(('Matriz Criterios'!$H$7:$V$7="X")*ISNUMBER('Registro Notas'!$D6:$R6))=0, "-", SUMPRODUCT(('Matriz Criterios'!$H$7:$V$7="X")*ISNUMBER('Registro Notas'!$D6:$R6)*'Registro Notas'!$D6:$R6)/SUMPRODUCT(('Matriz Criterios'!$H$7:$V$7="X")*ISNUMBER('Registro Notas'!$D6:$R6)))</f>
        <v/>
      </c>
      <c r="E6" s="32">
        <f>IF(SUMPRODUCT(('Matriz Criterios'!$H$8:$V$8="X")*ISNUMBER('Registro Notas'!$D6:$R6))=0, "-", SUMPRODUCT(('Matriz Criterios'!$H$8:$V$8="X")*ISNUMBER('Registro Notas'!$D6:$R6)*'Registro Notas'!$D6:$R6)/SUMPRODUCT(('Matriz Criterios'!$H$8:$V$8="X")*ISNUMBER('Registro Notas'!$D6:$R6)))</f>
        <v/>
      </c>
      <c r="F6" s="32">
        <f>IF(SUMPRODUCT(('Matriz Criterios'!$H$9:$V$9="X")*ISNUMBER('Registro Notas'!$D6:$R6))=0, "-", SUMPRODUCT(('Matriz Criterios'!$H$9:$V$9="X")*ISNUMBER('Registro Notas'!$D6:$R6)*'Registro Notas'!$D6:$R6)/SUMPRODUCT(('Matriz Criterios'!$H$9:$V$9="X")*ISNUMBER('Registro Notas'!$D6:$R6)))</f>
        <v/>
      </c>
      <c r="G6" s="32">
        <f>IF(SUMPRODUCT(('Matriz Criterios'!$H$10:$V$10="X")*ISNUMBER('Registro Notas'!$D6:$R6))=0, "-", SUMPRODUCT(('Matriz Criterios'!$H$10:$V$10="X")*ISNUMBER('Registro Notas'!$D6:$R6)*'Registro Notas'!$D6:$R6)/SUMPRODUCT(('Matriz Criterios'!$H$10:$V$10="X")*ISNUMBER('Registro Notas'!$D6:$R6)))</f>
        <v/>
      </c>
      <c r="H6" s="32">
        <f>IF(SUMPRODUCT(('Matriz Criterios'!$H$11:$V$11="X")*ISNUMBER('Registro Notas'!$D6:$R6))=0, "-", SUMPRODUCT(('Matriz Criterios'!$H$11:$V$11="X")*ISNUMBER('Registro Notas'!$D6:$R6)*'Registro Notas'!$D6:$R6)/SUMPRODUCT(('Matriz Criterios'!$H$11:$V$11="X")*ISNUMBER('Registro Notas'!$D6:$R6)))</f>
        <v/>
      </c>
      <c r="I6" s="32">
        <f>IF(SUMPRODUCT(('Matriz Criterios'!$H$12:$V$12="X")*ISNUMBER('Registro Notas'!$D6:$R6))=0, "-", SUMPRODUCT(('Matriz Criterios'!$H$12:$V$12="X")*ISNUMBER('Registro Notas'!$D6:$R6)*'Registro Notas'!$D6:$R6)/SUMPRODUCT(('Matriz Criterios'!$H$12:$V$12="X")*ISNUMBER('Registro Notas'!$D6:$R6)))</f>
        <v/>
      </c>
      <c r="J6" s="32">
        <f>IF(SUMPRODUCT(('Matriz Criterios'!$H$13:$V$13="X")*ISNUMBER('Registro Notas'!$D6:$R6))=0, "-", SUMPRODUCT(('Matriz Criterios'!$H$13:$V$13="X")*ISNUMBER('Registro Notas'!$D6:$R6)*'Registro Notas'!$D6:$R6)/SUMPRODUCT(('Matriz Criterios'!$H$13:$V$13="X")*ISNUMBER('Registro Notas'!$D6:$R6)))</f>
        <v/>
      </c>
      <c r="K6" s="32">
        <f>IF(SUMPRODUCT(('Matriz Criterios'!$H$14:$V$14="X")*ISNUMBER('Registro Notas'!$D6:$R6))=0, "-", SUMPRODUCT(('Matriz Criterios'!$H$14:$V$14="X")*ISNUMBER('Registro Notas'!$D6:$R6)*'Registro Notas'!$D6:$R6)/SUMPRODUCT(('Matriz Criterios'!$H$14:$V$14="X")*ISNUMBER('Registro Notas'!$D6:$R6)))</f>
        <v/>
      </c>
      <c r="L6" s="32">
        <f>IF(SUMPRODUCT(('Matriz Criterios'!$H$15:$V$15="X")*ISNUMBER('Registro Notas'!$D6:$R6))=0, "-", SUMPRODUCT(('Matriz Criterios'!$H$15:$V$15="X")*ISNUMBER('Registro Notas'!$D6:$R6)*'Registro Notas'!$D6:$R6)/SUMPRODUCT(('Matriz Criterios'!$H$15:$V$15="X")*ISNUMBER('Registro Notas'!$D6:$R6)))</f>
        <v/>
      </c>
      <c r="M6" s="32">
        <f>IF(SUMPRODUCT(('Matriz Criterios'!$H$16:$V$16="X")*ISNUMBER('Registro Notas'!$D6:$R6))=0, "-", SUMPRODUCT(('Matriz Criterios'!$H$16:$V$16="X")*ISNUMBER('Registro Notas'!$D6:$R6)*'Registro Notas'!$D6:$R6)/SUMPRODUCT(('Matriz Criterios'!$H$16:$V$16="X")*ISNUMBER('Registro Notas'!$D6:$R6)))</f>
        <v/>
      </c>
      <c r="N6" s="32">
        <f>IF(SUMPRODUCT(('Matriz Criterios'!$H$17:$V$17="X")*ISNUMBER('Registro Notas'!$D6:$R6))=0, "-", SUMPRODUCT(('Matriz Criterios'!$H$17:$V$17="X")*ISNUMBER('Registro Notas'!$D6:$R6)*'Registro Notas'!$D6:$R6)/SUMPRODUCT(('Matriz Criterios'!$H$17:$V$17="X")*ISNUMBER('Registro Notas'!$D6:$R6)))</f>
        <v/>
      </c>
      <c r="O6" s="32">
        <f>IF(SUMPRODUCT(('Matriz Criterios'!$H$18:$V$18="X")*ISNUMBER('Registro Notas'!$D6:$R6))=0, "-", SUMPRODUCT(('Matriz Criterios'!$H$18:$V$18="X")*ISNUMBER('Registro Notas'!$D6:$R6)*'Registro Notas'!$D6:$R6)/SUMPRODUCT(('Matriz Criterios'!$H$18:$V$18="X")*ISNUMBER('Registro Notas'!$D6:$R6)))</f>
        <v/>
      </c>
      <c r="P6" s="32">
        <f>IF(SUMPRODUCT(('Matriz Criterios'!$H$19:$V$19="X")*ISNUMBER('Registro Notas'!$D6:$R6))=0, "-", SUMPRODUCT(('Matriz Criterios'!$H$19:$V$19="X")*ISNUMBER('Registro Notas'!$D6:$R6)*'Registro Notas'!$D6:$R6)/SUMPRODUCT(('Matriz Criterios'!$H$19:$V$19="X")*ISNUMBER('Registro Notas'!$D6:$R6)))</f>
        <v/>
      </c>
      <c r="Q6" s="32">
        <f>IF(SUMPRODUCT(('Matriz Criterios'!$H$20:$V$20="X")*ISNUMBER('Registro Notas'!$D6:$R6))=0, "-", SUMPRODUCT(('Matriz Criterios'!$H$20:$V$20="X")*ISNUMBER('Registro Notas'!$D6:$R6)*'Registro Notas'!$D6:$R6)/SUMPRODUCT(('Matriz Criterios'!$H$20:$V$20="X")*ISNUMBER('Registro Notas'!$D6:$R6)))</f>
        <v/>
      </c>
      <c r="R6" s="32">
        <f>IF(SUMPRODUCT(('Matriz Criterios'!$H$21:$V$21="X")*ISNUMBER('Registro Notas'!$D6:$R6))=0, "-", SUMPRODUCT(('Matriz Criterios'!$H$21:$V$21="X")*ISNUMBER('Registro Notas'!$D6:$R6)*'Registro Notas'!$D6:$R6)/SUMPRODUCT(('Matriz Criterios'!$H$21:$V$21="X")*ISNUMBER('Registro Notas'!$D6:$R6)))</f>
        <v/>
      </c>
      <c r="S6" s="32">
        <f>IF(SUMPRODUCT(('Matriz Criterios'!$H$22:$V$22="X")*ISNUMBER('Registro Notas'!$D6:$R6))=0, "-", SUMPRODUCT(('Matriz Criterios'!$H$22:$V$22="X")*ISNUMBER('Registro Notas'!$D6:$R6)*'Registro Notas'!$D6:$R6)/SUMPRODUCT(('Matriz Criterios'!$H$22:$V$22="X")*ISNUMBER('Registro Notas'!$D6:$R6)))</f>
        <v/>
      </c>
      <c r="T6" s="32">
        <f>IF(SUMPRODUCT(('Matriz Criterios'!$H$23:$V$23="X")*ISNUMBER('Registro Notas'!$D6:$R6))=0, "-", SUMPRODUCT(('Matriz Criterios'!$H$23:$V$23="X")*ISNUMBER('Registro Notas'!$D6:$R6)*'Registro Notas'!$D6:$R6)/SUMPRODUCT(('Matriz Criterios'!$H$23:$V$23="X")*ISNUMBER('Registro Notas'!$D6:$R6)))</f>
        <v/>
      </c>
      <c r="U6" s="32">
        <f>IF(SUMPRODUCT(('Matriz Criterios'!$H$24:$V$24="X")*ISNUMBER('Registro Notas'!$D6:$R6))=0, "-", SUMPRODUCT(('Matriz Criterios'!$H$24:$V$24="X")*ISNUMBER('Registro Notas'!$D6:$R6)*'Registro Notas'!$D6:$R6)/SUMPRODUCT(('Matriz Criterios'!$H$24:$V$24="X")*ISNUMBER('Registro Notas'!$D6:$R6)))</f>
        <v/>
      </c>
      <c r="V6" s="32">
        <f>IF(SUMPRODUCT(('Matriz Criterios'!$H$25:$V$25="X")*ISNUMBER('Registro Notas'!$D6:$R6))=0, "-", SUMPRODUCT(('Matriz Criterios'!$H$25:$V$25="X")*ISNUMBER('Registro Notas'!$D6:$R6)*'Registro Notas'!$D6:$R6)/SUMPRODUCT(('Matriz Criterios'!$H$25:$V$25="X")*ISNUMBER('Registro Notas'!$D6:$R6)))</f>
        <v/>
      </c>
      <c r="W6" s="32">
        <f>IF(SUMPRODUCT(('Matriz Criterios'!$H$26:$V$26="X")*ISNUMBER('Registro Notas'!$D6:$R6))=0, "-", SUMPRODUCT(('Matriz Criterios'!$H$26:$V$26="X")*ISNUMBER('Registro Notas'!$D6:$R6)*'Registro Notas'!$D6:$R6)/SUMPRODUCT(('Matriz Criterios'!$H$26:$V$26="X")*ISNUMBER('Registro Notas'!$D6:$R6)))</f>
        <v/>
      </c>
      <c r="X6" s="32">
        <f>IF(SUMPRODUCT(('Matriz Criterios'!$H$27:$V$27="X")*ISNUMBER('Registro Notas'!$D6:$R6))=0, "-", SUMPRODUCT(('Matriz Criterios'!$H$27:$V$27="X")*ISNUMBER('Registro Notas'!$D6:$R6)*'Registro Notas'!$D6:$R6)/SUMPRODUCT(('Matriz Criterios'!$H$27:$V$27="X")*ISNUMBER('Registro Notas'!$D6:$R6)))</f>
        <v/>
      </c>
      <c r="Y6" s="32">
        <f>IF(SUMPRODUCT(('Matriz Criterios'!$H$28:$V$28="X")*ISNUMBER('Registro Notas'!$D6:$R6))=0, "-", SUMPRODUCT(('Matriz Criterios'!$H$28:$V$28="X")*ISNUMBER('Registro Notas'!$D6:$R6)*'Registro Notas'!$D6:$R6)/SUMPRODUCT(('Matriz Criterios'!$H$28:$V$28="X")*ISNUMBER('Registro Notas'!$D6:$R6)))</f>
        <v/>
      </c>
      <c r="Z6" s="32">
        <f>IF(SUMPRODUCT(('Matriz Criterios'!$H$29:$V$29="X")*ISNUMBER('Registro Notas'!$D6:$R6))=0, "-", SUMPRODUCT(('Matriz Criterios'!$H$29:$V$29="X")*ISNUMBER('Registro Notas'!$D6:$R6)*'Registro Notas'!$D6:$R6)/SUMPRODUCT(('Matriz Criterios'!$H$29:$V$29="X")*ISNUMBER('Registro Notas'!$D6:$R6)))</f>
        <v/>
      </c>
      <c r="AA6" s="32">
        <f>IF(SUMPRODUCT(('Matriz Criterios'!$H$30:$V$30="X")*ISNUMBER('Registro Notas'!$D6:$R6))=0, "-", SUMPRODUCT(('Matriz Criterios'!$H$30:$V$30="X")*ISNUMBER('Registro Notas'!$D6:$R6)*'Registro Notas'!$D6:$R6)/SUMPRODUCT(('Matriz Criterios'!$H$30:$V$30="X")*ISNUMBER('Registro Notas'!$D6:$R6)))</f>
        <v/>
      </c>
      <c r="AB6" s="32">
        <f>IF(SUMPRODUCT(('Matriz Criterios'!$H$31:$V$31="X")*ISNUMBER('Registro Notas'!$D6:$R6))=0, "-", SUMPRODUCT(('Matriz Criterios'!$H$31:$V$31="X")*ISNUMBER('Registro Notas'!$D6:$R6)*'Registro Notas'!$D6:$R6)/SUMPRODUCT(('Matriz Criterios'!$H$31:$V$31="X")*ISNUMBER('Registro Notas'!$D6:$R6)))</f>
        <v/>
      </c>
      <c r="AC6" s="32">
        <f>IF(SUMPRODUCT(('Matriz Criterios'!$H$32:$V$32="X")*ISNUMBER('Registro Notas'!$D6:$R6))=0, "-", SUMPRODUCT(('Matriz Criterios'!$H$32:$V$32="X")*ISNUMBER('Registro Notas'!$D6:$R6)*'Registro Notas'!$D6:$R6)/SUMPRODUCT(('Matriz Criterios'!$H$32:$V$32="X")*ISNUMBER('Registro Notas'!$D6:$R6)))</f>
        <v/>
      </c>
      <c r="AD6" s="32">
        <f>IF(SUMPRODUCT(('Matriz Criterios'!$H$33:$V$33="X")*ISNUMBER('Registro Notas'!$D6:$R6))=0, "-", SUMPRODUCT(('Matriz Criterios'!$H$33:$V$33="X")*ISNUMBER('Registro Notas'!$D6:$R6)*'Registro Notas'!$D6:$R6)/SUMPRODUCT(('Matriz Criterios'!$H$33:$V$33="X")*ISNUMBER('Registro Notas'!$D6:$R6)))</f>
        <v/>
      </c>
      <c r="AE6" s="32">
        <f>IF(SUMPRODUCT(('Matriz Criterios'!$H$34:$V$34="X")*ISNUMBER('Registro Notas'!$D6:$R6))=0, "-", SUMPRODUCT(('Matriz Criterios'!$H$34:$V$34="X")*ISNUMBER('Registro Notas'!$D6:$R6)*'Registro Notas'!$D6:$R6)/SUMPRODUCT(('Matriz Criterios'!$H$34:$V$34="X")*ISNUMBER('Registro Notas'!$D6:$R6)))</f>
        <v/>
      </c>
      <c r="AF6" s="32">
        <f>IF(SUMPRODUCT(('Matriz Criterios'!$H$35:$V$35="X")*ISNUMBER('Registro Notas'!$D6:$R6))=0, "-", SUMPRODUCT(('Matriz Criterios'!$H$35:$V$35="X")*ISNUMBER('Registro Notas'!$D6:$R6)*'Registro Notas'!$D6:$R6)/SUMPRODUCT(('Matriz Criterios'!$H$35:$V$35="X")*ISNUMBER('Registro Notas'!$D6:$R6)))</f>
        <v/>
      </c>
      <c r="AG6" s="32">
        <f>IF(SUMPRODUCT(('Matriz Criterios'!$H$36:$V$36="X")*ISNUMBER('Registro Notas'!$D6:$R6))=0, "-", SUMPRODUCT(('Matriz Criterios'!$H$36:$V$36="X")*ISNUMBER('Registro Notas'!$D6:$R6)*'Registro Notas'!$D6:$R6)/SUMPRODUCT(('Matriz Criterios'!$H$36:$V$36="X")*ISNUMBER('Registro Notas'!$D6:$R6)))</f>
        <v/>
      </c>
      <c r="AH6" s="32">
        <f>IF(SUMPRODUCT(('Matriz Criterios'!$H$37:$V$37="X")*ISNUMBER('Registro Notas'!$D6:$R6))=0, "-", SUMPRODUCT(('Matriz Criterios'!$H$37:$V$37="X")*ISNUMBER('Registro Notas'!$D6:$R6)*'Registro Notas'!$D6:$R6)/SUMPRODUCT(('Matriz Criterios'!$H$37:$V$37="X")*ISNUMBER('Registro Notas'!$D6:$R6)))</f>
        <v/>
      </c>
      <c r="AI6" s="32">
        <f>IF(SUMPRODUCT(('Matriz Criterios'!$H$38:$V$38="X")*ISNUMBER('Registro Notas'!$D6:$R6))=0, "-", SUMPRODUCT(('Matriz Criterios'!$H$38:$V$38="X")*ISNUMBER('Registro Notas'!$D6:$R6)*'Registro Notas'!$D6:$R6)/SUMPRODUCT(('Matriz Criterios'!$H$38:$V$38="X")*ISNUMBER('Registro Notas'!$D6:$R6)))</f>
        <v/>
      </c>
      <c r="AJ6" s="32">
        <f>IF(SUMPRODUCT(('Matriz Criterios'!$H$39:$V$39="X")*ISNUMBER('Registro Notas'!$D6:$R6))=0, "-", SUMPRODUCT(('Matriz Criterios'!$H$39:$V$39="X")*ISNUMBER('Registro Notas'!$D6:$R6)*'Registro Notas'!$D6:$R6)/SUMPRODUCT(('Matriz Criterios'!$H$39:$V$39="X")*ISNUMBER('Registro Notas'!$D6:$R6)))</f>
        <v/>
      </c>
      <c r="AK6" s="32">
        <f>IF(SUMPRODUCT(('Matriz Criterios'!$H$40:$V$40="X")*ISNUMBER('Registro Notas'!$D6:$R6))=0, "-", SUMPRODUCT(('Matriz Criterios'!$H$40:$V$40="X")*ISNUMBER('Registro Notas'!$D6:$R6)*'Registro Notas'!$D6:$R6)/SUMPRODUCT(('Matriz Criterios'!$H$40:$V$40="X")*ISNUMBER('Registro Notas'!$D6:$R6)))</f>
        <v/>
      </c>
      <c r="AL6" s="32">
        <f>IF(SUMPRODUCT(('Matriz Criterios'!$H$41:$V$41="X")*ISNUMBER('Registro Notas'!$D6:$R6))=0, "-", SUMPRODUCT(('Matriz Criterios'!$H$41:$V$41="X")*ISNUMBER('Registro Notas'!$D6:$R6)*'Registro Notas'!$D6:$R6)/SUMPRODUCT(('Matriz Criterios'!$H$41:$V$41="X")*ISNUMBER('Registro Notas'!$D6:$R6)))</f>
        <v/>
      </c>
      <c r="AM6" s="32">
        <f>IF(SUMPRODUCT(('Matriz Criterios'!$H$42:$V$42="X")*ISNUMBER('Registro Notas'!$D6:$R6))=0, "-", SUMPRODUCT(('Matriz Criterios'!$H$42:$V$42="X")*ISNUMBER('Registro Notas'!$D6:$R6)*'Registro Notas'!$D6:$R6)/SUMPRODUCT(('Matriz Criterios'!$H$42:$V$42="X")*ISNUMBER('Registro Notas'!$D6:$R6)))</f>
        <v/>
      </c>
      <c r="AN6" s="32">
        <f>IF(SUMPRODUCT(('Matriz Criterios'!$H$43:$V$43="X")*ISNUMBER('Registro Notas'!$D6:$R6))=0, "-", SUMPRODUCT(('Matriz Criterios'!$H$43:$V$43="X")*ISNUMBER('Registro Notas'!$D6:$R6)*'Registro Notas'!$D6:$R6)/SUMPRODUCT(('Matriz Criterios'!$H$43:$V$43="X")*ISNUMBER('Registro Notas'!$D6:$R6)))</f>
        <v/>
      </c>
      <c r="AO6" s="32">
        <f>IF(SUMPRODUCT(('Matriz Criterios'!$H$44:$V$44="X")*ISNUMBER('Registro Notas'!$D6:$R6))=0, "-", SUMPRODUCT(('Matriz Criterios'!$H$44:$V$44="X")*ISNUMBER('Registro Notas'!$D6:$R6)*'Registro Notas'!$D6:$R6)/SUMPRODUCT(('Matriz Criterios'!$H$44:$V$44="X")*ISNUMBER('Registro Notas'!$D6:$R6)))</f>
        <v/>
      </c>
      <c r="AP6" s="32">
        <f>IF(SUMPRODUCT(('Matriz Criterios'!$H$45:$V$45="X")*ISNUMBER('Registro Notas'!$D6:$R6))=0, "-", SUMPRODUCT(('Matriz Criterios'!$H$45:$V$45="X")*ISNUMBER('Registro Notas'!$D6:$R6)*'Registro Notas'!$D6:$R6)/SUMPRODUCT(('Matriz Criterios'!$H$45:$V$45="X")*ISNUMBER('Registro Notas'!$D6:$R6)))</f>
        <v/>
      </c>
      <c r="AQ6" s="45">
        <f>AVERAGE(C6:AP6)</f>
        <v/>
      </c>
      <c r="AR6" s="46">
        <f>COUNTIF(C6:AP6, "&gt;=5")</f>
        <v/>
      </c>
    </row>
    <row r="7" ht="20" customHeight="1">
      <c r="A7" s="21" t="n">
        <v>2</v>
      </c>
      <c r="B7" s="35" t="inlineStr">
        <is>
          <t>Benítez Romero, Carlos</t>
        </is>
      </c>
      <c r="C7" s="36">
        <f>IF(SUMPRODUCT(('Matriz Criterios'!$H$6:$V$6="X")*ISNUMBER('Registro Notas'!$D7:$R7))=0, "-", SUMPRODUCT(('Matriz Criterios'!$H$6:$V$6="X")*ISNUMBER('Registro Notas'!$D7:$R7)*'Registro Notas'!$D7:$R7)/SUMPRODUCT(('Matriz Criterios'!$H$6:$V$6="X")*ISNUMBER('Registro Notas'!$D7:$R7)))</f>
        <v/>
      </c>
      <c r="D7" s="36">
        <f>IF(SUMPRODUCT(('Matriz Criterios'!$H$7:$V$7="X")*ISNUMBER('Registro Notas'!$D7:$R7))=0, "-", SUMPRODUCT(('Matriz Criterios'!$H$7:$V$7="X")*ISNUMBER('Registro Notas'!$D7:$R7)*'Registro Notas'!$D7:$R7)/SUMPRODUCT(('Matriz Criterios'!$H$7:$V$7="X")*ISNUMBER('Registro Notas'!$D7:$R7)))</f>
        <v/>
      </c>
      <c r="E7" s="36">
        <f>IF(SUMPRODUCT(('Matriz Criterios'!$H$8:$V$8="X")*ISNUMBER('Registro Notas'!$D7:$R7))=0, "-", SUMPRODUCT(('Matriz Criterios'!$H$8:$V$8="X")*ISNUMBER('Registro Notas'!$D7:$R7)*'Registro Notas'!$D7:$R7)/SUMPRODUCT(('Matriz Criterios'!$H$8:$V$8="X")*ISNUMBER('Registro Notas'!$D7:$R7)))</f>
        <v/>
      </c>
      <c r="F7" s="36">
        <f>IF(SUMPRODUCT(('Matriz Criterios'!$H$9:$V$9="X")*ISNUMBER('Registro Notas'!$D7:$R7))=0, "-", SUMPRODUCT(('Matriz Criterios'!$H$9:$V$9="X")*ISNUMBER('Registro Notas'!$D7:$R7)*'Registro Notas'!$D7:$R7)/SUMPRODUCT(('Matriz Criterios'!$H$9:$V$9="X")*ISNUMBER('Registro Notas'!$D7:$R7)))</f>
        <v/>
      </c>
      <c r="G7" s="36">
        <f>IF(SUMPRODUCT(('Matriz Criterios'!$H$10:$V$10="X")*ISNUMBER('Registro Notas'!$D7:$R7))=0, "-", SUMPRODUCT(('Matriz Criterios'!$H$10:$V$10="X")*ISNUMBER('Registro Notas'!$D7:$R7)*'Registro Notas'!$D7:$R7)/SUMPRODUCT(('Matriz Criterios'!$H$10:$V$10="X")*ISNUMBER('Registro Notas'!$D7:$R7)))</f>
        <v/>
      </c>
      <c r="H7" s="36">
        <f>IF(SUMPRODUCT(('Matriz Criterios'!$H$11:$V$11="X")*ISNUMBER('Registro Notas'!$D7:$R7))=0, "-", SUMPRODUCT(('Matriz Criterios'!$H$11:$V$11="X")*ISNUMBER('Registro Notas'!$D7:$R7)*'Registro Notas'!$D7:$R7)/SUMPRODUCT(('Matriz Criterios'!$H$11:$V$11="X")*ISNUMBER('Registro Notas'!$D7:$R7)))</f>
        <v/>
      </c>
      <c r="I7" s="36">
        <f>IF(SUMPRODUCT(('Matriz Criterios'!$H$12:$V$12="X")*ISNUMBER('Registro Notas'!$D7:$R7))=0, "-", SUMPRODUCT(('Matriz Criterios'!$H$12:$V$12="X")*ISNUMBER('Registro Notas'!$D7:$R7)*'Registro Notas'!$D7:$R7)/SUMPRODUCT(('Matriz Criterios'!$H$12:$V$12="X")*ISNUMBER('Registro Notas'!$D7:$R7)))</f>
        <v/>
      </c>
      <c r="J7" s="36">
        <f>IF(SUMPRODUCT(('Matriz Criterios'!$H$13:$V$13="X")*ISNUMBER('Registro Notas'!$D7:$R7))=0, "-", SUMPRODUCT(('Matriz Criterios'!$H$13:$V$13="X")*ISNUMBER('Registro Notas'!$D7:$R7)*'Registro Notas'!$D7:$R7)/SUMPRODUCT(('Matriz Criterios'!$H$13:$V$13="X")*ISNUMBER('Registro Notas'!$D7:$R7)))</f>
        <v/>
      </c>
      <c r="K7" s="36">
        <f>IF(SUMPRODUCT(('Matriz Criterios'!$H$14:$V$14="X")*ISNUMBER('Registro Notas'!$D7:$R7))=0, "-", SUMPRODUCT(('Matriz Criterios'!$H$14:$V$14="X")*ISNUMBER('Registro Notas'!$D7:$R7)*'Registro Notas'!$D7:$R7)/SUMPRODUCT(('Matriz Criterios'!$H$14:$V$14="X")*ISNUMBER('Registro Notas'!$D7:$R7)))</f>
        <v/>
      </c>
      <c r="L7" s="36">
        <f>IF(SUMPRODUCT(('Matriz Criterios'!$H$15:$V$15="X")*ISNUMBER('Registro Notas'!$D7:$R7))=0, "-", SUMPRODUCT(('Matriz Criterios'!$H$15:$V$15="X")*ISNUMBER('Registro Notas'!$D7:$R7)*'Registro Notas'!$D7:$R7)/SUMPRODUCT(('Matriz Criterios'!$H$15:$V$15="X")*ISNUMBER('Registro Notas'!$D7:$R7)))</f>
        <v/>
      </c>
      <c r="M7" s="36">
        <f>IF(SUMPRODUCT(('Matriz Criterios'!$H$16:$V$16="X")*ISNUMBER('Registro Notas'!$D7:$R7))=0, "-", SUMPRODUCT(('Matriz Criterios'!$H$16:$V$16="X")*ISNUMBER('Registro Notas'!$D7:$R7)*'Registro Notas'!$D7:$R7)/SUMPRODUCT(('Matriz Criterios'!$H$16:$V$16="X")*ISNUMBER('Registro Notas'!$D7:$R7)))</f>
        <v/>
      </c>
      <c r="N7" s="36">
        <f>IF(SUMPRODUCT(('Matriz Criterios'!$H$17:$V$17="X")*ISNUMBER('Registro Notas'!$D7:$R7))=0, "-", SUMPRODUCT(('Matriz Criterios'!$H$17:$V$17="X")*ISNUMBER('Registro Notas'!$D7:$R7)*'Registro Notas'!$D7:$R7)/SUMPRODUCT(('Matriz Criterios'!$H$17:$V$17="X")*ISNUMBER('Registro Notas'!$D7:$R7)))</f>
        <v/>
      </c>
      <c r="O7" s="36">
        <f>IF(SUMPRODUCT(('Matriz Criterios'!$H$18:$V$18="X")*ISNUMBER('Registro Notas'!$D7:$R7))=0, "-", SUMPRODUCT(('Matriz Criterios'!$H$18:$V$18="X")*ISNUMBER('Registro Notas'!$D7:$R7)*'Registro Notas'!$D7:$R7)/SUMPRODUCT(('Matriz Criterios'!$H$18:$V$18="X")*ISNUMBER('Registro Notas'!$D7:$R7)))</f>
        <v/>
      </c>
      <c r="P7" s="36">
        <f>IF(SUMPRODUCT(('Matriz Criterios'!$H$19:$V$19="X")*ISNUMBER('Registro Notas'!$D7:$R7))=0, "-", SUMPRODUCT(('Matriz Criterios'!$H$19:$V$19="X")*ISNUMBER('Registro Notas'!$D7:$R7)*'Registro Notas'!$D7:$R7)/SUMPRODUCT(('Matriz Criterios'!$H$19:$V$19="X")*ISNUMBER('Registro Notas'!$D7:$R7)))</f>
        <v/>
      </c>
      <c r="Q7" s="36">
        <f>IF(SUMPRODUCT(('Matriz Criterios'!$H$20:$V$20="X")*ISNUMBER('Registro Notas'!$D7:$R7))=0, "-", SUMPRODUCT(('Matriz Criterios'!$H$20:$V$20="X")*ISNUMBER('Registro Notas'!$D7:$R7)*'Registro Notas'!$D7:$R7)/SUMPRODUCT(('Matriz Criterios'!$H$20:$V$20="X")*ISNUMBER('Registro Notas'!$D7:$R7)))</f>
        <v/>
      </c>
      <c r="R7" s="36">
        <f>IF(SUMPRODUCT(('Matriz Criterios'!$H$21:$V$21="X")*ISNUMBER('Registro Notas'!$D7:$R7))=0, "-", SUMPRODUCT(('Matriz Criterios'!$H$21:$V$21="X")*ISNUMBER('Registro Notas'!$D7:$R7)*'Registro Notas'!$D7:$R7)/SUMPRODUCT(('Matriz Criterios'!$H$21:$V$21="X")*ISNUMBER('Registro Notas'!$D7:$R7)))</f>
        <v/>
      </c>
      <c r="S7" s="36">
        <f>IF(SUMPRODUCT(('Matriz Criterios'!$H$22:$V$22="X")*ISNUMBER('Registro Notas'!$D7:$R7))=0, "-", SUMPRODUCT(('Matriz Criterios'!$H$22:$V$22="X")*ISNUMBER('Registro Notas'!$D7:$R7)*'Registro Notas'!$D7:$R7)/SUMPRODUCT(('Matriz Criterios'!$H$22:$V$22="X")*ISNUMBER('Registro Notas'!$D7:$R7)))</f>
        <v/>
      </c>
      <c r="T7" s="36">
        <f>IF(SUMPRODUCT(('Matriz Criterios'!$H$23:$V$23="X")*ISNUMBER('Registro Notas'!$D7:$R7))=0, "-", SUMPRODUCT(('Matriz Criterios'!$H$23:$V$23="X")*ISNUMBER('Registro Notas'!$D7:$R7)*'Registro Notas'!$D7:$R7)/SUMPRODUCT(('Matriz Criterios'!$H$23:$V$23="X")*ISNUMBER('Registro Notas'!$D7:$R7)))</f>
        <v/>
      </c>
      <c r="U7" s="36">
        <f>IF(SUMPRODUCT(('Matriz Criterios'!$H$24:$V$24="X")*ISNUMBER('Registro Notas'!$D7:$R7))=0, "-", SUMPRODUCT(('Matriz Criterios'!$H$24:$V$24="X")*ISNUMBER('Registro Notas'!$D7:$R7)*'Registro Notas'!$D7:$R7)/SUMPRODUCT(('Matriz Criterios'!$H$24:$V$24="X")*ISNUMBER('Registro Notas'!$D7:$R7)))</f>
        <v/>
      </c>
      <c r="V7" s="36">
        <f>IF(SUMPRODUCT(('Matriz Criterios'!$H$25:$V$25="X")*ISNUMBER('Registro Notas'!$D7:$R7))=0, "-", SUMPRODUCT(('Matriz Criterios'!$H$25:$V$25="X")*ISNUMBER('Registro Notas'!$D7:$R7)*'Registro Notas'!$D7:$R7)/SUMPRODUCT(('Matriz Criterios'!$H$25:$V$25="X")*ISNUMBER('Registro Notas'!$D7:$R7)))</f>
        <v/>
      </c>
      <c r="W7" s="36">
        <f>IF(SUMPRODUCT(('Matriz Criterios'!$H$26:$V$26="X")*ISNUMBER('Registro Notas'!$D7:$R7))=0, "-", SUMPRODUCT(('Matriz Criterios'!$H$26:$V$26="X")*ISNUMBER('Registro Notas'!$D7:$R7)*'Registro Notas'!$D7:$R7)/SUMPRODUCT(('Matriz Criterios'!$H$26:$V$26="X")*ISNUMBER('Registro Notas'!$D7:$R7)))</f>
        <v/>
      </c>
      <c r="X7" s="36">
        <f>IF(SUMPRODUCT(('Matriz Criterios'!$H$27:$V$27="X")*ISNUMBER('Registro Notas'!$D7:$R7))=0, "-", SUMPRODUCT(('Matriz Criterios'!$H$27:$V$27="X")*ISNUMBER('Registro Notas'!$D7:$R7)*'Registro Notas'!$D7:$R7)/SUMPRODUCT(('Matriz Criterios'!$H$27:$V$27="X")*ISNUMBER('Registro Notas'!$D7:$R7)))</f>
        <v/>
      </c>
      <c r="Y7" s="36">
        <f>IF(SUMPRODUCT(('Matriz Criterios'!$H$28:$V$28="X")*ISNUMBER('Registro Notas'!$D7:$R7))=0, "-", SUMPRODUCT(('Matriz Criterios'!$H$28:$V$28="X")*ISNUMBER('Registro Notas'!$D7:$R7)*'Registro Notas'!$D7:$R7)/SUMPRODUCT(('Matriz Criterios'!$H$28:$V$28="X")*ISNUMBER('Registro Notas'!$D7:$R7)))</f>
        <v/>
      </c>
      <c r="Z7" s="36">
        <f>IF(SUMPRODUCT(('Matriz Criterios'!$H$29:$V$29="X")*ISNUMBER('Registro Notas'!$D7:$R7))=0, "-", SUMPRODUCT(('Matriz Criterios'!$H$29:$V$29="X")*ISNUMBER('Registro Notas'!$D7:$R7)*'Registro Notas'!$D7:$R7)/SUMPRODUCT(('Matriz Criterios'!$H$29:$V$29="X")*ISNUMBER('Registro Notas'!$D7:$R7)))</f>
        <v/>
      </c>
      <c r="AA7" s="36">
        <f>IF(SUMPRODUCT(('Matriz Criterios'!$H$30:$V$30="X")*ISNUMBER('Registro Notas'!$D7:$R7))=0, "-", SUMPRODUCT(('Matriz Criterios'!$H$30:$V$30="X")*ISNUMBER('Registro Notas'!$D7:$R7)*'Registro Notas'!$D7:$R7)/SUMPRODUCT(('Matriz Criterios'!$H$30:$V$30="X")*ISNUMBER('Registro Notas'!$D7:$R7)))</f>
        <v/>
      </c>
      <c r="AB7" s="36">
        <f>IF(SUMPRODUCT(('Matriz Criterios'!$H$31:$V$31="X")*ISNUMBER('Registro Notas'!$D7:$R7))=0, "-", SUMPRODUCT(('Matriz Criterios'!$H$31:$V$31="X")*ISNUMBER('Registro Notas'!$D7:$R7)*'Registro Notas'!$D7:$R7)/SUMPRODUCT(('Matriz Criterios'!$H$31:$V$31="X")*ISNUMBER('Registro Notas'!$D7:$R7)))</f>
        <v/>
      </c>
      <c r="AC7" s="36">
        <f>IF(SUMPRODUCT(('Matriz Criterios'!$H$32:$V$32="X")*ISNUMBER('Registro Notas'!$D7:$R7))=0, "-", SUMPRODUCT(('Matriz Criterios'!$H$32:$V$32="X")*ISNUMBER('Registro Notas'!$D7:$R7)*'Registro Notas'!$D7:$R7)/SUMPRODUCT(('Matriz Criterios'!$H$32:$V$32="X")*ISNUMBER('Registro Notas'!$D7:$R7)))</f>
        <v/>
      </c>
      <c r="AD7" s="36">
        <f>IF(SUMPRODUCT(('Matriz Criterios'!$H$33:$V$33="X")*ISNUMBER('Registro Notas'!$D7:$R7))=0, "-", SUMPRODUCT(('Matriz Criterios'!$H$33:$V$33="X")*ISNUMBER('Registro Notas'!$D7:$R7)*'Registro Notas'!$D7:$R7)/SUMPRODUCT(('Matriz Criterios'!$H$33:$V$33="X")*ISNUMBER('Registro Notas'!$D7:$R7)))</f>
        <v/>
      </c>
      <c r="AE7" s="36">
        <f>IF(SUMPRODUCT(('Matriz Criterios'!$H$34:$V$34="X")*ISNUMBER('Registro Notas'!$D7:$R7))=0, "-", SUMPRODUCT(('Matriz Criterios'!$H$34:$V$34="X")*ISNUMBER('Registro Notas'!$D7:$R7)*'Registro Notas'!$D7:$R7)/SUMPRODUCT(('Matriz Criterios'!$H$34:$V$34="X")*ISNUMBER('Registro Notas'!$D7:$R7)))</f>
        <v/>
      </c>
      <c r="AF7" s="36">
        <f>IF(SUMPRODUCT(('Matriz Criterios'!$H$35:$V$35="X")*ISNUMBER('Registro Notas'!$D7:$R7))=0, "-", SUMPRODUCT(('Matriz Criterios'!$H$35:$V$35="X")*ISNUMBER('Registro Notas'!$D7:$R7)*'Registro Notas'!$D7:$R7)/SUMPRODUCT(('Matriz Criterios'!$H$35:$V$35="X")*ISNUMBER('Registro Notas'!$D7:$R7)))</f>
        <v/>
      </c>
      <c r="AG7" s="36">
        <f>IF(SUMPRODUCT(('Matriz Criterios'!$H$36:$V$36="X")*ISNUMBER('Registro Notas'!$D7:$R7))=0, "-", SUMPRODUCT(('Matriz Criterios'!$H$36:$V$36="X")*ISNUMBER('Registro Notas'!$D7:$R7)*'Registro Notas'!$D7:$R7)/SUMPRODUCT(('Matriz Criterios'!$H$36:$V$36="X")*ISNUMBER('Registro Notas'!$D7:$R7)))</f>
        <v/>
      </c>
      <c r="AH7" s="36">
        <f>IF(SUMPRODUCT(('Matriz Criterios'!$H$37:$V$37="X")*ISNUMBER('Registro Notas'!$D7:$R7))=0, "-", SUMPRODUCT(('Matriz Criterios'!$H$37:$V$37="X")*ISNUMBER('Registro Notas'!$D7:$R7)*'Registro Notas'!$D7:$R7)/SUMPRODUCT(('Matriz Criterios'!$H$37:$V$37="X")*ISNUMBER('Registro Notas'!$D7:$R7)))</f>
        <v/>
      </c>
      <c r="AI7" s="36">
        <f>IF(SUMPRODUCT(('Matriz Criterios'!$H$38:$V$38="X")*ISNUMBER('Registro Notas'!$D7:$R7))=0, "-", SUMPRODUCT(('Matriz Criterios'!$H$38:$V$38="X")*ISNUMBER('Registro Notas'!$D7:$R7)*'Registro Notas'!$D7:$R7)/SUMPRODUCT(('Matriz Criterios'!$H$38:$V$38="X")*ISNUMBER('Registro Notas'!$D7:$R7)))</f>
        <v/>
      </c>
      <c r="AJ7" s="36">
        <f>IF(SUMPRODUCT(('Matriz Criterios'!$H$39:$V$39="X")*ISNUMBER('Registro Notas'!$D7:$R7))=0, "-", SUMPRODUCT(('Matriz Criterios'!$H$39:$V$39="X")*ISNUMBER('Registro Notas'!$D7:$R7)*'Registro Notas'!$D7:$R7)/SUMPRODUCT(('Matriz Criterios'!$H$39:$V$39="X")*ISNUMBER('Registro Notas'!$D7:$R7)))</f>
        <v/>
      </c>
      <c r="AK7" s="36">
        <f>IF(SUMPRODUCT(('Matriz Criterios'!$H$40:$V$40="X")*ISNUMBER('Registro Notas'!$D7:$R7))=0, "-", SUMPRODUCT(('Matriz Criterios'!$H$40:$V$40="X")*ISNUMBER('Registro Notas'!$D7:$R7)*'Registro Notas'!$D7:$R7)/SUMPRODUCT(('Matriz Criterios'!$H$40:$V$40="X")*ISNUMBER('Registro Notas'!$D7:$R7)))</f>
        <v/>
      </c>
      <c r="AL7" s="36">
        <f>IF(SUMPRODUCT(('Matriz Criterios'!$H$41:$V$41="X")*ISNUMBER('Registro Notas'!$D7:$R7))=0, "-", SUMPRODUCT(('Matriz Criterios'!$H$41:$V$41="X")*ISNUMBER('Registro Notas'!$D7:$R7)*'Registro Notas'!$D7:$R7)/SUMPRODUCT(('Matriz Criterios'!$H$41:$V$41="X")*ISNUMBER('Registro Notas'!$D7:$R7)))</f>
        <v/>
      </c>
      <c r="AM7" s="36">
        <f>IF(SUMPRODUCT(('Matriz Criterios'!$H$42:$V$42="X")*ISNUMBER('Registro Notas'!$D7:$R7))=0, "-", SUMPRODUCT(('Matriz Criterios'!$H$42:$V$42="X")*ISNUMBER('Registro Notas'!$D7:$R7)*'Registro Notas'!$D7:$R7)/SUMPRODUCT(('Matriz Criterios'!$H$42:$V$42="X")*ISNUMBER('Registro Notas'!$D7:$R7)))</f>
        <v/>
      </c>
      <c r="AN7" s="36">
        <f>IF(SUMPRODUCT(('Matriz Criterios'!$H$43:$V$43="X")*ISNUMBER('Registro Notas'!$D7:$R7))=0, "-", SUMPRODUCT(('Matriz Criterios'!$H$43:$V$43="X")*ISNUMBER('Registro Notas'!$D7:$R7)*'Registro Notas'!$D7:$R7)/SUMPRODUCT(('Matriz Criterios'!$H$43:$V$43="X")*ISNUMBER('Registro Notas'!$D7:$R7)))</f>
        <v/>
      </c>
      <c r="AO7" s="36">
        <f>IF(SUMPRODUCT(('Matriz Criterios'!$H$44:$V$44="X")*ISNUMBER('Registro Notas'!$D7:$R7))=0, "-", SUMPRODUCT(('Matriz Criterios'!$H$44:$V$44="X")*ISNUMBER('Registro Notas'!$D7:$R7)*'Registro Notas'!$D7:$R7)/SUMPRODUCT(('Matriz Criterios'!$H$44:$V$44="X")*ISNUMBER('Registro Notas'!$D7:$R7)))</f>
        <v/>
      </c>
      <c r="AP7" s="36">
        <f>IF(SUMPRODUCT(('Matriz Criterios'!$H$45:$V$45="X")*ISNUMBER('Registro Notas'!$D7:$R7))=0, "-", SUMPRODUCT(('Matriz Criterios'!$H$45:$V$45="X")*ISNUMBER('Registro Notas'!$D7:$R7)*'Registro Notas'!$D7:$R7)/SUMPRODUCT(('Matriz Criterios'!$H$45:$V$45="X")*ISNUMBER('Registro Notas'!$D7:$R7)))</f>
        <v/>
      </c>
      <c r="AQ7" s="45">
        <f>AVERAGE(C7:AP7)</f>
        <v/>
      </c>
      <c r="AR7" s="46">
        <f>COUNTIF(C7:AP7, "&gt;=5")</f>
        <v/>
      </c>
    </row>
    <row r="8" ht="20" customHeight="1">
      <c r="A8" s="13" t="n">
        <v>3</v>
      </c>
      <c r="B8" s="31" t="inlineStr">
        <is>
          <t>Castillo Morales, Elena</t>
        </is>
      </c>
      <c r="C8" s="32">
        <f>IF(SUMPRODUCT(('Matriz Criterios'!$H$6:$V$6="X")*ISNUMBER('Registro Notas'!$D8:$R8))=0, "-", SUMPRODUCT(('Matriz Criterios'!$H$6:$V$6="X")*ISNUMBER('Registro Notas'!$D8:$R8)*'Registro Notas'!$D8:$R8)/SUMPRODUCT(('Matriz Criterios'!$H$6:$V$6="X")*ISNUMBER('Registro Notas'!$D8:$R8)))</f>
        <v/>
      </c>
      <c r="D8" s="32">
        <f>IF(SUMPRODUCT(('Matriz Criterios'!$H$7:$V$7="X")*ISNUMBER('Registro Notas'!$D8:$R8))=0, "-", SUMPRODUCT(('Matriz Criterios'!$H$7:$V$7="X")*ISNUMBER('Registro Notas'!$D8:$R8)*'Registro Notas'!$D8:$R8)/SUMPRODUCT(('Matriz Criterios'!$H$7:$V$7="X")*ISNUMBER('Registro Notas'!$D8:$R8)))</f>
        <v/>
      </c>
      <c r="E8" s="32">
        <f>IF(SUMPRODUCT(('Matriz Criterios'!$H$8:$V$8="X")*ISNUMBER('Registro Notas'!$D8:$R8))=0, "-", SUMPRODUCT(('Matriz Criterios'!$H$8:$V$8="X")*ISNUMBER('Registro Notas'!$D8:$R8)*'Registro Notas'!$D8:$R8)/SUMPRODUCT(('Matriz Criterios'!$H$8:$V$8="X")*ISNUMBER('Registro Notas'!$D8:$R8)))</f>
        <v/>
      </c>
      <c r="F8" s="32">
        <f>IF(SUMPRODUCT(('Matriz Criterios'!$H$9:$V$9="X")*ISNUMBER('Registro Notas'!$D8:$R8))=0, "-", SUMPRODUCT(('Matriz Criterios'!$H$9:$V$9="X")*ISNUMBER('Registro Notas'!$D8:$R8)*'Registro Notas'!$D8:$R8)/SUMPRODUCT(('Matriz Criterios'!$H$9:$V$9="X")*ISNUMBER('Registro Notas'!$D8:$R8)))</f>
        <v/>
      </c>
      <c r="G8" s="32">
        <f>IF(SUMPRODUCT(('Matriz Criterios'!$H$10:$V$10="X")*ISNUMBER('Registro Notas'!$D8:$R8))=0, "-", SUMPRODUCT(('Matriz Criterios'!$H$10:$V$10="X")*ISNUMBER('Registro Notas'!$D8:$R8)*'Registro Notas'!$D8:$R8)/SUMPRODUCT(('Matriz Criterios'!$H$10:$V$10="X")*ISNUMBER('Registro Notas'!$D8:$R8)))</f>
        <v/>
      </c>
      <c r="H8" s="32">
        <f>IF(SUMPRODUCT(('Matriz Criterios'!$H$11:$V$11="X")*ISNUMBER('Registro Notas'!$D8:$R8))=0, "-", SUMPRODUCT(('Matriz Criterios'!$H$11:$V$11="X")*ISNUMBER('Registro Notas'!$D8:$R8)*'Registro Notas'!$D8:$R8)/SUMPRODUCT(('Matriz Criterios'!$H$11:$V$11="X")*ISNUMBER('Registro Notas'!$D8:$R8)))</f>
        <v/>
      </c>
      <c r="I8" s="32">
        <f>IF(SUMPRODUCT(('Matriz Criterios'!$H$12:$V$12="X")*ISNUMBER('Registro Notas'!$D8:$R8))=0, "-", SUMPRODUCT(('Matriz Criterios'!$H$12:$V$12="X")*ISNUMBER('Registro Notas'!$D8:$R8)*'Registro Notas'!$D8:$R8)/SUMPRODUCT(('Matriz Criterios'!$H$12:$V$12="X")*ISNUMBER('Registro Notas'!$D8:$R8)))</f>
        <v/>
      </c>
      <c r="J8" s="32">
        <f>IF(SUMPRODUCT(('Matriz Criterios'!$H$13:$V$13="X")*ISNUMBER('Registro Notas'!$D8:$R8))=0, "-", SUMPRODUCT(('Matriz Criterios'!$H$13:$V$13="X")*ISNUMBER('Registro Notas'!$D8:$R8)*'Registro Notas'!$D8:$R8)/SUMPRODUCT(('Matriz Criterios'!$H$13:$V$13="X")*ISNUMBER('Registro Notas'!$D8:$R8)))</f>
        <v/>
      </c>
      <c r="K8" s="32">
        <f>IF(SUMPRODUCT(('Matriz Criterios'!$H$14:$V$14="X")*ISNUMBER('Registro Notas'!$D8:$R8))=0, "-", SUMPRODUCT(('Matriz Criterios'!$H$14:$V$14="X")*ISNUMBER('Registro Notas'!$D8:$R8)*'Registro Notas'!$D8:$R8)/SUMPRODUCT(('Matriz Criterios'!$H$14:$V$14="X")*ISNUMBER('Registro Notas'!$D8:$R8)))</f>
        <v/>
      </c>
      <c r="L8" s="32">
        <f>IF(SUMPRODUCT(('Matriz Criterios'!$H$15:$V$15="X")*ISNUMBER('Registro Notas'!$D8:$R8))=0, "-", SUMPRODUCT(('Matriz Criterios'!$H$15:$V$15="X")*ISNUMBER('Registro Notas'!$D8:$R8)*'Registro Notas'!$D8:$R8)/SUMPRODUCT(('Matriz Criterios'!$H$15:$V$15="X")*ISNUMBER('Registro Notas'!$D8:$R8)))</f>
        <v/>
      </c>
      <c r="M8" s="32">
        <f>IF(SUMPRODUCT(('Matriz Criterios'!$H$16:$V$16="X")*ISNUMBER('Registro Notas'!$D8:$R8))=0, "-", SUMPRODUCT(('Matriz Criterios'!$H$16:$V$16="X")*ISNUMBER('Registro Notas'!$D8:$R8)*'Registro Notas'!$D8:$R8)/SUMPRODUCT(('Matriz Criterios'!$H$16:$V$16="X")*ISNUMBER('Registro Notas'!$D8:$R8)))</f>
        <v/>
      </c>
      <c r="N8" s="32">
        <f>IF(SUMPRODUCT(('Matriz Criterios'!$H$17:$V$17="X")*ISNUMBER('Registro Notas'!$D8:$R8))=0, "-", SUMPRODUCT(('Matriz Criterios'!$H$17:$V$17="X")*ISNUMBER('Registro Notas'!$D8:$R8)*'Registro Notas'!$D8:$R8)/SUMPRODUCT(('Matriz Criterios'!$H$17:$V$17="X")*ISNUMBER('Registro Notas'!$D8:$R8)))</f>
        <v/>
      </c>
      <c r="O8" s="32">
        <f>IF(SUMPRODUCT(('Matriz Criterios'!$H$18:$V$18="X")*ISNUMBER('Registro Notas'!$D8:$R8))=0, "-", SUMPRODUCT(('Matriz Criterios'!$H$18:$V$18="X")*ISNUMBER('Registro Notas'!$D8:$R8)*'Registro Notas'!$D8:$R8)/SUMPRODUCT(('Matriz Criterios'!$H$18:$V$18="X")*ISNUMBER('Registro Notas'!$D8:$R8)))</f>
        <v/>
      </c>
      <c r="P8" s="32">
        <f>IF(SUMPRODUCT(('Matriz Criterios'!$H$19:$V$19="X")*ISNUMBER('Registro Notas'!$D8:$R8))=0, "-", SUMPRODUCT(('Matriz Criterios'!$H$19:$V$19="X")*ISNUMBER('Registro Notas'!$D8:$R8)*'Registro Notas'!$D8:$R8)/SUMPRODUCT(('Matriz Criterios'!$H$19:$V$19="X")*ISNUMBER('Registro Notas'!$D8:$R8)))</f>
        <v/>
      </c>
      <c r="Q8" s="32">
        <f>IF(SUMPRODUCT(('Matriz Criterios'!$H$20:$V$20="X")*ISNUMBER('Registro Notas'!$D8:$R8))=0, "-", SUMPRODUCT(('Matriz Criterios'!$H$20:$V$20="X")*ISNUMBER('Registro Notas'!$D8:$R8)*'Registro Notas'!$D8:$R8)/SUMPRODUCT(('Matriz Criterios'!$H$20:$V$20="X")*ISNUMBER('Registro Notas'!$D8:$R8)))</f>
        <v/>
      </c>
      <c r="R8" s="32">
        <f>IF(SUMPRODUCT(('Matriz Criterios'!$H$21:$V$21="X")*ISNUMBER('Registro Notas'!$D8:$R8))=0, "-", SUMPRODUCT(('Matriz Criterios'!$H$21:$V$21="X")*ISNUMBER('Registro Notas'!$D8:$R8)*'Registro Notas'!$D8:$R8)/SUMPRODUCT(('Matriz Criterios'!$H$21:$V$21="X")*ISNUMBER('Registro Notas'!$D8:$R8)))</f>
        <v/>
      </c>
      <c r="S8" s="32">
        <f>IF(SUMPRODUCT(('Matriz Criterios'!$H$22:$V$22="X")*ISNUMBER('Registro Notas'!$D8:$R8))=0, "-", SUMPRODUCT(('Matriz Criterios'!$H$22:$V$22="X")*ISNUMBER('Registro Notas'!$D8:$R8)*'Registro Notas'!$D8:$R8)/SUMPRODUCT(('Matriz Criterios'!$H$22:$V$22="X")*ISNUMBER('Registro Notas'!$D8:$R8)))</f>
        <v/>
      </c>
      <c r="T8" s="32">
        <f>IF(SUMPRODUCT(('Matriz Criterios'!$H$23:$V$23="X")*ISNUMBER('Registro Notas'!$D8:$R8))=0, "-", SUMPRODUCT(('Matriz Criterios'!$H$23:$V$23="X")*ISNUMBER('Registro Notas'!$D8:$R8)*'Registro Notas'!$D8:$R8)/SUMPRODUCT(('Matriz Criterios'!$H$23:$V$23="X")*ISNUMBER('Registro Notas'!$D8:$R8)))</f>
        <v/>
      </c>
      <c r="U8" s="32">
        <f>IF(SUMPRODUCT(('Matriz Criterios'!$H$24:$V$24="X")*ISNUMBER('Registro Notas'!$D8:$R8))=0, "-", SUMPRODUCT(('Matriz Criterios'!$H$24:$V$24="X")*ISNUMBER('Registro Notas'!$D8:$R8)*'Registro Notas'!$D8:$R8)/SUMPRODUCT(('Matriz Criterios'!$H$24:$V$24="X")*ISNUMBER('Registro Notas'!$D8:$R8)))</f>
        <v/>
      </c>
      <c r="V8" s="32">
        <f>IF(SUMPRODUCT(('Matriz Criterios'!$H$25:$V$25="X")*ISNUMBER('Registro Notas'!$D8:$R8))=0, "-", SUMPRODUCT(('Matriz Criterios'!$H$25:$V$25="X")*ISNUMBER('Registro Notas'!$D8:$R8)*'Registro Notas'!$D8:$R8)/SUMPRODUCT(('Matriz Criterios'!$H$25:$V$25="X")*ISNUMBER('Registro Notas'!$D8:$R8)))</f>
        <v/>
      </c>
      <c r="W8" s="32">
        <f>IF(SUMPRODUCT(('Matriz Criterios'!$H$26:$V$26="X")*ISNUMBER('Registro Notas'!$D8:$R8))=0, "-", SUMPRODUCT(('Matriz Criterios'!$H$26:$V$26="X")*ISNUMBER('Registro Notas'!$D8:$R8)*'Registro Notas'!$D8:$R8)/SUMPRODUCT(('Matriz Criterios'!$H$26:$V$26="X")*ISNUMBER('Registro Notas'!$D8:$R8)))</f>
        <v/>
      </c>
      <c r="X8" s="32">
        <f>IF(SUMPRODUCT(('Matriz Criterios'!$H$27:$V$27="X")*ISNUMBER('Registro Notas'!$D8:$R8))=0, "-", SUMPRODUCT(('Matriz Criterios'!$H$27:$V$27="X")*ISNUMBER('Registro Notas'!$D8:$R8)*'Registro Notas'!$D8:$R8)/SUMPRODUCT(('Matriz Criterios'!$H$27:$V$27="X")*ISNUMBER('Registro Notas'!$D8:$R8)))</f>
        <v/>
      </c>
      <c r="Y8" s="32">
        <f>IF(SUMPRODUCT(('Matriz Criterios'!$H$28:$V$28="X")*ISNUMBER('Registro Notas'!$D8:$R8))=0, "-", SUMPRODUCT(('Matriz Criterios'!$H$28:$V$28="X")*ISNUMBER('Registro Notas'!$D8:$R8)*'Registro Notas'!$D8:$R8)/SUMPRODUCT(('Matriz Criterios'!$H$28:$V$28="X")*ISNUMBER('Registro Notas'!$D8:$R8)))</f>
        <v/>
      </c>
      <c r="Z8" s="32">
        <f>IF(SUMPRODUCT(('Matriz Criterios'!$H$29:$V$29="X")*ISNUMBER('Registro Notas'!$D8:$R8))=0, "-", SUMPRODUCT(('Matriz Criterios'!$H$29:$V$29="X")*ISNUMBER('Registro Notas'!$D8:$R8)*'Registro Notas'!$D8:$R8)/SUMPRODUCT(('Matriz Criterios'!$H$29:$V$29="X")*ISNUMBER('Registro Notas'!$D8:$R8)))</f>
        <v/>
      </c>
      <c r="AA8" s="32">
        <f>IF(SUMPRODUCT(('Matriz Criterios'!$H$30:$V$30="X")*ISNUMBER('Registro Notas'!$D8:$R8))=0, "-", SUMPRODUCT(('Matriz Criterios'!$H$30:$V$30="X")*ISNUMBER('Registro Notas'!$D8:$R8)*'Registro Notas'!$D8:$R8)/SUMPRODUCT(('Matriz Criterios'!$H$30:$V$30="X")*ISNUMBER('Registro Notas'!$D8:$R8)))</f>
        <v/>
      </c>
      <c r="AB8" s="32">
        <f>IF(SUMPRODUCT(('Matriz Criterios'!$H$31:$V$31="X")*ISNUMBER('Registro Notas'!$D8:$R8))=0, "-", SUMPRODUCT(('Matriz Criterios'!$H$31:$V$31="X")*ISNUMBER('Registro Notas'!$D8:$R8)*'Registro Notas'!$D8:$R8)/SUMPRODUCT(('Matriz Criterios'!$H$31:$V$31="X")*ISNUMBER('Registro Notas'!$D8:$R8)))</f>
        <v/>
      </c>
      <c r="AC8" s="32">
        <f>IF(SUMPRODUCT(('Matriz Criterios'!$H$32:$V$32="X")*ISNUMBER('Registro Notas'!$D8:$R8))=0, "-", SUMPRODUCT(('Matriz Criterios'!$H$32:$V$32="X")*ISNUMBER('Registro Notas'!$D8:$R8)*'Registro Notas'!$D8:$R8)/SUMPRODUCT(('Matriz Criterios'!$H$32:$V$32="X")*ISNUMBER('Registro Notas'!$D8:$R8)))</f>
        <v/>
      </c>
      <c r="AD8" s="32">
        <f>IF(SUMPRODUCT(('Matriz Criterios'!$H$33:$V$33="X")*ISNUMBER('Registro Notas'!$D8:$R8))=0, "-", SUMPRODUCT(('Matriz Criterios'!$H$33:$V$33="X")*ISNUMBER('Registro Notas'!$D8:$R8)*'Registro Notas'!$D8:$R8)/SUMPRODUCT(('Matriz Criterios'!$H$33:$V$33="X")*ISNUMBER('Registro Notas'!$D8:$R8)))</f>
        <v/>
      </c>
      <c r="AE8" s="32">
        <f>IF(SUMPRODUCT(('Matriz Criterios'!$H$34:$V$34="X")*ISNUMBER('Registro Notas'!$D8:$R8))=0, "-", SUMPRODUCT(('Matriz Criterios'!$H$34:$V$34="X")*ISNUMBER('Registro Notas'!$D8:$R8)*'Registro Notas'!$D8:$R8)/SUMPRODUCT(('Matriz Criterios'!$H$34:$V$34="X")*ISNUMBER('Registro Notas'!$D8:$R8)))</f>
        <v/>
      </c>
      <c r="AF8" s="32">
        <f>IF(SUMPRODUCT(('Matriz Criterios'!$H$35:$V$35="X")*ISNUMBER('Registro Notas'!$D8:$R8))=0, "-", SUMPRODUCT(('Matriz Criterios'!$H$35:$V$35="X")*ISNUMBER('Registro Notas'!$D8:$R8)*'Registro Notas'!$D8:$R8)/SUMPRODUCT(('Matriz Criterios'!$H$35:$V$35="X")*ISNUMBER('Registro Notas'!$D8:$R8)))</f>
        <v/>
      </c>
      <c r="AG8" s="32">
        <f>IF(SUMPRODUCT(('Matriz Criterios'!$H$36:$V$36="X")*ISNUMBER('Registro Notas'!$D8:$R8))=0, "-", SUMPRODUCT(('Matriz Criterios'!$H$36:$V$36="X")*ISNUMBER('Registro Notas'!$D8:$R8)*'Registro Notas'!$D8:$R8)/SUMPRODUCT(('Matriz Criterios'!$H$36:$V$36="X")*ISNUMBER('Registro Notas'!$D8:$R8)))</f>
        <v/>
      </c>
      <c r="AH8" s="32">
        <f>IF(SUMPRODUCT(('Matriz Criterios'!$H$37:$V$37="X")*ISNUMBER('Registro Notas'!$D8:$R8))=0, "-", SUMPRODUCT(('Matriz Criterios'!$H$37:$V$37="X")*ISNUMBER('Registro Notas'!$D8:$R8)*'Registro Notas'!$D8:$R8)/SUMPRODUCT(('Matriz Criterios'!$H$37:$V$37="X")*ISNUMBER('Registro Notas'!$D8:$R8)))</f>
        <v/>
      </c>
      <c r="AI8" s="32">
        <f>IF(SUMPRODUCT(('Matriz Criterios'!$H$38:$V$38="X")*ISNUMBER('Registro Notas'!$D8:$R8))=0, "-", SUMPRODUCT(('Matriz Criterios'!$H$38:$V$38="X")*ISNUMBER('Registro Notas'!$D8:$R8)*'Registro Notas'!$D8:$R8)/SUMPRODUCT(('Matriz Criterios'!$H$38:$V$38="X")*ISNUMBER('Registro Notas'!$D8:$R8)))</f>
        <v/>
      </c>
      <c r="AJ8" s="32">
        <f>IF(SUMPRODUCT(('Matriz Criterios'!$H$39:$V$39="X")*ISNUMBER('Registro Notas'!$D8:$R8))=0, "-", SUMPRODUCT(('Matriz Criterios'!$H$39:$V$39="X")*ISNUMBER('Registro Notas'!$D8:$R8)*'Registro Notas'!$D8:$R8)/SUMPRODUCT(('Matriz Criterios'!$H$39:$V$39="X")*ISNUMBER('Registro Notas'!$D8:$R8)))</f>
        <v/>
      </c>
      <c r="AK8" s="32">
        <f>IF(SUMPRODUCT(('Matriz Criterios'!$H$40:$V$40="X")*ISNUMBER('Registro Notas'!$D8:$R8))=0, "-", SUMPRODUCT(('Matriz Criterios'!$H$40:$V$40="X")*ISNUMBER('Registro Notas'!$D8:$R8)*'Registro Notas'!$D8:$R8)/SUMPRODUCT(('Matriz Criterios'!$H$40:$V$40="X")*ISNUMBER('Registro Notas'!$D8:$R8)))</f>
        <v/>
      </c>
      <c r="AL8" s="32">
        <f>IF(SUMPRODUCT(('Matriz Criterios'!$H$41:$V$41="X")*ISNUMBER('Registro Notas'!$D8:$R8))=0, "-", SUMPRODUCT(('Matriz Criterios'!$H$41:$V$41="X")*ISNUMBER('Registro Notas'!$D8:$R8)*'Registro Notas'!$D8:$R8)/SUMPRODUCT(('Matriz Criterios'!$H$41:$V$41="X")*ISNUMBER('Registro Notas'!$D8:$R8)))</f>
        <v/>
      </c>
      <c r="AM8" s="32">
        <f>IF(SUMPRODUCT(('Matriz Criterios'!$H$42:$V$42="X")*ISNUMBER('Registro Notas'!$D8:$R8))=0, "-", SUMPRODUCT(('Matriz Criterios'!$H$42:$V$42="X")*ISNUMBER('Registro Notas'!$D8:$R8)*'Registro Notas'!$D8:$R8)/SUMPRODUCT(('Matriz Criterios'!$H$42:$V$42="X")*ISNUMBER('Registro Notas'!$D8:$R8)))</f>
        <v/>
      </c>
      <c r="AN8" s="32">
        <f>IF(SUMPRODUCT(('Matriz Criterios'!$H$43:$V$43="X")*ISNUMBER('Registro Notas'!$D8:$R8))=0, "-", SUMPRODUCT(('Matriz Criterios'!$H$43:$V$43="X")*ISNUMBER('Registro Notas'!$D8:$R8)*'Registro Notas'!$D8:$R8)/SUMPRODUCT(('Matriz Criterios'!$H$43:$V$43="X")*ISNUMBER('Registro Notas'!$D8:$R8)))</f>
        <v/>
      </c>
      <c r="AO8" s="32">
        <f>IF(SUMPRODUCT(('Matriz Criterios'!$H$44:$V$44="X")*ISNUMBER('Registro Notas'!$D8:$R8))=0, "-", SUMPRODUCT(('Matriz Criterios'!$H$44:$V$44="X")*ISNUMBER('Registro Notas'!$D8:$R8)*'Registro Notas'!$D8:$R8)/SUMPRODUCT(('Matriz Criterios'!$H$44:$V$44="X")*ISNUMBER('Registro Notas'!$D8:$R8)))</f>
        <v/>
      </c>
      <c r="AP8" s="32">
        <f>IF(SUMPRODUCT(('Matriz Criterios'!$H$45:$V$45="X")*ISNUMBER('Registro Notas'!$D8:$R8))=0, "-", SUMPRODUCT(('Matriz Criterios'!$H$45:$V$45="X")*ISNUMBER('Registro Notas'!$D8:$R8)*'Registro Notas'!$D8:$R8)/SUMPRODUCT(('Matriz Criterios'!$H$45:$V$45="X")*ISNUMBER('Registro Notas'!$D8:$R8)))</f>
        <v/>
      </c>
      <c r="AQ8" s="45">
        <f>AVERAGE(C8:AP8)</f>
        <v/>
      </c>
      <c r="AR8" s="46">
        <f>COUNTIF(C8:AP8, "&gt;=5")</f>
        <v/>
      </c>
    </row>
    <row r="9" ht="20" customHeight="1">
      <c r="A9" s="21" t="n">
        <v>4</v>
      </c>
      <c r="B9" s="35" t="inlineStr">
        <is>
          <t>Delgado Santos, Alejandro</t>
        </is>
      </c>
      <c r="C9" s="36">
        <f>IF(SUMPRODUCT(('Matriz Criterios'!$H$6:$V$6="X")*ISNUMBER('Registro Notas'!$D9:$R9))=0, "-", SUMPRODUCT(('Matriz Criterios'!$H$6:$V$6="X")*ISNUMBER('Registro Notas'!$D9:$R9)*'Registro Notas'!$D9:$R9)/SUMPRODUCT(('Matriz Criterios'!$H$6:$V$6="X")*ISNUMBER('Registro Notas'!$D9:$R9)))</f>
        <v/>
      </c>
      <c r="D9" s="36">
        <f>IF(SUMPRODUCT(('Matriz Criterios'!$H$7:$V$7="X")*ISNUMBER('Registro Notas'!$D9:$R9))=0, "-", SUMPRODUCT(('Matriz Criterios'!$H$7:$V$7="X")*ISNUMBER('Registro Notas'!$D9:$R9)*'Registro Notas'!$D9:$R9)/SUMPRODUCT(('Matriz Criterios'!$H$7:$V$7="X")*ISNUMBER('Registro Notas'!$D9:$R9)))</f>
        <v/>
      </c>
      <c r="E9" s="36">
        <f>IF(SUMPRODUCT(('Matriz Criterios'!$H$8:$V$8="X")*ISNUMBER('Registro Notas'!$D9:$R9))=0, "-", SUMPRODUCT(('Matriz Criterios'!$H$8:$V$8="X")*ISNUMBER('Registro Notas'!$D9:$R9)*'Registro Notas'!$D9:$R9)/SUMPRODUCT(('Matriz Criterios'!$H$8:$V$8="X")*ISNUMBER('Registro Notas'!$D9:$R9)))</f>
        <v/>
      </c>
      <c r="F9" s="36">
        <f>IF(SUMPRODUCT(('Matriz Criterios'!$H$9:$V$9="X")*ISNUMBER('Registro Notas'!$D9:$R9))=0, "-", SUMPRODUCT(('Matriz Criterios'!$H$9:$V$9="X")*ISNUMBER('Registro Notas'!$D9:$R9)*'Registro Notas'!$D9:$R9)/SUMPRODUCT(('Matriz Criterios'!$H$9:$V$9="X")*ISNUMBER('Registro Notas'!$D9:$R9)))</f>
        <v/>
      </c>
      <c r="G9" s="36">
        <f>IF(SUMPRODUCT(('Matriz Criterios'!$H$10:$V$10="X")*ISNUMBER('Registro Notas'!$D9:$R9))=0, "-", SUMPRODUCT(('Matriz Criterios'!$H$10:$V$10="X")*ISNUMBER('Registro Notas'!$D9:$R9)*'Registro Notas'!$D9:$R9)/SUMPRODUCT(('Matriz Criterios'!$H$10:$V$10="X")*ISNUMBER('Registro Notas'!$D9:$R9)))</f>
        <v/>
      </c>
      <c r="H9" s="36">
        <f>IF(SUMPRODUCT(('Matriz Criterios'!$H$11:$V$11="X")*ISNUMBER('Registro Notas'!$D9:$R9))=0, "-", SUMPRODUCT(('Matriz Criterios'!$H$11:$V$11="X")*ISNUMBER('Registro Notas'!$D9:$R9)*'Registro Notas'!$D9:$R9)/SUMPRODUCT(('Matriz Criterios'!$H$11:$V$11="X")*ISNUMBER('Registro Notas'!$D9:$R9)))</f>
        <v/>
      </c>
      <c r="I9" s="36">
        <f>IF(SUMPRODUCT(('Matriz Criterios'!$H$12:$V$12="X")*ISNUMBER('Registro Notas'!$D9:$R9))=0, "-", SUMPRODUCT(('Matriz Criterios'!$H$12:$V$12="X")*ISNUMBER('Registro Notas'!$D9:$R9)*'Registro Notas'!$D9:$R9)/SUMPRODUCT(('Matriz Criterios'!$H$12:$V$12="X")*ISNUMBER('Registro Notas'!$D9:$R9)))</f>
        <v/>
      </c>
      <c r="J9" s="36">
        <f>IF(SUMPRODUCT(('Matriz Criterios'!$H$13:$V$13="X")*ISNUMBER('Registro Notas'!$D9:$R9))=0, "-", SUMPRODUCT(('Matriz Criterios'!$H$13:$V$13="X")*ISNUMBER('Registro Notas'!$D9:$R9)*'Registro Notas'!$D9:$R9)/SUMPRODUCT(('Matriz Criterios'!$H$13:$V$13="X")*ISNUMBER('Registro Notas'!$D9:$R9)))</f>
        <v/>
      </c>
      <c r="K9" s="36">
        <f>IF(SUMPRODUCT(('Matriz Criterios'!$H$14:$V$14="X")*ISNUMBER('Registro Notas'!$D9:$R9))=0, "-", SUMPRODUCT(('Matriz Criterios'!$H$14:$V$14="X")*ISNUMBER('Registro Notas'!$D9:$R9)*'Registro Notas'!$D9:$R9)/SUMPRODUCT(('Matriz Criterios'!$H$14:$V$14="X")*ISNUMBER('Registro Notas'!$D9:$R9)))</f>
        <v/>
      </c>
      <c r="L9" s="36">
        <f>IF(SUMPRODUCT(('Matriz Criterios'!$H$15:$V$15="X")*ISNUMBER('Registro Notas'!$D9:$R9))=0, "-", SUMPRODUCT(('Matriz Criterios'!$H$15:$V$15="X")*ISNUMBER('Registro Notas'!$D9:$R9)*'Registro Notas'!$D9:$R9)/SUMPRODUCT(('Matriz Criterios'!$H$15:$V$15="X")*ISNUMBER('Registro Notas'!$D9:$R9)))</f>
        <v/>
      </c>
      <c r="M9" s="36">
        <f>IF(SUMPRODUCT(('Matriz Criterios'!$H$16:$V$16="X")*ISNUMBER('Registro Notas'!$D9:$R9))=0, "-", SUMPRODUCT(('Matriz Criterios'!$H$16:$V$16="X")*ISNUMBER('Registro Notas'!$D9:$R9)*'Registro Notas'!$D9:$R9)/SUMPRODUCT(('Matriz Criterios'!$H$16:$V$16="X")*ISNUMBER('Registro Notas'!$D9:$R9)))</f>
        <v/>
      </c>
      <c r="N9" s="36">
        <f>IF(SUMPRODUCT(('Matriz Criterios'!$H$17:$V$17="X")*ISNUMBER('Registro Notas'!$D9:$R9))=0, "-", SUMPRODUCT(('Matriz Criterios'!$H$17:$V$17="X")*ISNUMBER('Registro Notas'!$D9:$R9)*'Registro Notas'!$D9:$R9)/SUMPRODUCT(('Matriz Criterios'!$H$17:$V$17="X")*ISNUMBER('Registro Notas'!$D9:$R9)))</f>
        <v/>
      </c>
      <c r="O9" s="36">
        <f>IF(SUMPRODUCT(('Matriz Criterios'!$H$18:$V$18="X")*ISNUMBER('Registro Notas'!$D9:$R9))=0, "-", SUMPRODUCT(('Matriz Criterios'!$H$18:$V$18="X")*ISNUMBER('Registro Notas'!$D9:$R9)*'Registro Notas'!$D9:$R9)/SUMPRODUCT(('Matriz Criterios'!$H$18:$V$18="X")*ISNUMBER('Registro Notas'!$D9:$R9)))</f>
        <v/>
      </c>
      <c r="P9" s="36">
        <f>IF(SUMPRODUCT(('Matriz Criterios'!$H$19:$V$19="X")*ISNUMBER('Registro Notas'!$D9:$R9))=0, "-", SUMPRODUCT(('Matriz Criterios'!$H$19:$V$19="X")*ISNUMBER('Registro Notas'!$D9:$R9)*'Registro Notas'!$D9:$R9)/SUMPRODUCT(('Matriz Criterios'!$H$19:$V$19="X")*ISNUMBER('Registro Notas'!$D9:$R9)))</f>
        <v/>
      </c>
      <c r="Q9" s="36">
        <f>IF(SUMPRODUCT(('Matriz Criterios'!$H$20:$V$20="X")*ISNUMBER('Registro Notas'!$D9:$R9))=0, "-", SUMPRODUCT(('Matriz Criterios'!$H$20:$V$20="X")*ISNUMBER('Registro Notas'!$D9:$R9)*'Registro Notas'!$D9:$R9)/SUMPRODUCT(('Matriz Criterios'!$H$20:$V$20="X")*ISNUMBER('Registro Notas'!$D9:$R9)))</f>
        <v/>
      </c>
      <c r="R9" s="36">
        <f>IF(SUMPRODUCT(('Matriz Criterios'!$H$21:$V$21="X")*ISNUMBER('Registro Notas'!$D9:$R9))=0, "-", SUMPRODUCT(('Matriz Criterios'!$H$21:$V$21="X")*ISNUMBER('Registro Notas'!$D9:$R9)*'Registro Notas'!$D9:$R9)/SUMPRODUCT(('Matriz Criterios'!$H$21:$V$21="X")*ISNUMBER('Registro Notas'!$D9:$R9)))</f>
        <v/>
      </c>
      <c r="S9" s="36">
        <f>IF(SUMPRODUCT(('Matriz Criterios'!$H$22:$V$22="X")*ISNUMBER('Registro Notas'!$D9:$R9))=0, "-", SUMPRODUCT(('Matriz Criterios'!$H$22:$V$22="X")*ISNUMBER('Registro Notas'!$D9:$R9)*'Registro Notas'!$D9:$R9)/SUMPRODUCT(('Matriz Criterios'!$H$22:$V$22="X")*ISNUMBER('Registro Notas'!$D9:$R9)))</f>
        <v/>
      </c>
      <c r="T9" s="36">
        <f>IF(SUMPRODUCT(('Matriz Criterios'!$H$23:$V$23="X")*ISNUMBER('Registro Notas'!$D9:$R9))=0, "-", SUMPRODUCT(('Matriz Criterios'!$H$23:$V$23="X")*ISNUMBER('Registro Notas'!$D9:$R9)*'Registro Notas'!$D9:$R9)/SUMPRODUCT(('Matriz Criterios'!$H$23:$V$23="X")*ISNUMBER('Registro Notas'!$D9:$R9)))</f>
        <v/>
      </c>
      <c r="U9" s="36">
        <f>IF(SUMPRODUCT(('Matriz Criterios'!$H$24:$V$24="X")*ISNUMBER('Registro Notas'!$D9:$R9))=0, "-", SUMPRODUCT(('Matriz Criterios'!$H$24:$V$24="X")*ISNUMBER('Registro Notas'!$D9:$R9)*'Registro Notas'!$D9:$R9)/SUMPRODUCT(('Matriz Criterios'!$H$24:$V$24="X")*ISNUMBER('Registro Notas'!$D9:$R9)))</f>
        <v/>
      </c>
      <c r="V9" s="36">
        <f>IF(SUMPRODUCT(('Matriz Criterios'!$H$25:$V$25="X")*ISNUMBER('Registro Notas'!$D9:$R9))=0, "-", SUMPRODUCT(('Matriz Criterios'!$H$25:$V$25="X")*ISNUMBER('Registro Notas'!$D9:$R9)*'Registro Notas'!$D9:$R9)/SUMPRODUCT(('Matriz Criterios'!$H$25:$V$25="X")*ISNUMBER('Registro Notas'!$D9:$R9)))</f>
        <v/>
      </c>
      <c r="W9" s="36">
        <f>IF(SUMPRODUCT(('Matriz Criterios'!$H$26:$V$26="X")*ISNUMBER('Registro Notas'!$D9:$R9))=0, "-", SUMPRODUCT(('Matriz Criterios'!$H$26:$V$26="X")*ISNUMBER('Registro Notas'!$D9:$R9)*'Registro Notas'!$D9:$R9)/SUMPRODUCT(('Matriz Criterios'!$H$26:$V$26="X")*ISNUMBER('Registro Notas'!$D9:$R9)))</f>
        <v/>
      </c>
      <c r="X9" s="36">
        <f>IF(SUMPRODUCT(('Matriz Criterios'!$H$27:$V$27="X")*ISNUMBER('Registro Notas'!$D9:$R9))=0, "-", SUMPRODUCT(('Matriz Criterios'!$H$27:$V$27="X")*ISNUMBER('Registro Notas'!$D9:$R9)*'Registro Notas'!$D9:$R9)/SUMPRODUCT(('Matriz Criterios'!$H$27:$V$27="X")*ISNUMBER('Registro Notas'!$D9:$R9)))</f>
        <v/>
      </c>
      <c r="Y9" s="36">
        <f>IF(SUMPRODUCT(('Matriz Criterios'!$H$28:$V$28="X")*ISNUMBER('Registro Notas'!$D9:$R9))=0, "-", SUMPRODUCT(('Matriz Criterios'!$H$28:$V$28="X")*ISNUMBER('Registro Notas'!$D9:$R9)*'Registro Notas'!$D9:$R9)/SUMPRODUCT(('Matriz Criterios'!$H$28:$V$28="X")*ISNUMBER('Registro Notas'!$D9:$R9)))</f>
        <v/>
      </c>
      <c r="Z9" s="36">
        <f>IF(SUMPRODUCT(('Matriz Criterios'!$H$29:$V$29="X")*ISNUMBER('Registro Notas'!$D9:$R9))=0, "-", SUMPRODUCT(('Matriz Criterios'!$H$29:$V$29="X")*ISNUMBER('Registro Notas'!$D9:$R9)*'Registro Notas'!$D9:$R9)/SUMPRODUCT(('Matriz Criterios'!$H$29:$V$29="X")*ISNUMBER('Registro Notas'!$D9:$R9)))</f>
        <v/>
      </c>
      <c r="AA9" s="36">
        <f>IF(SUMPRODUCT(('Matriz Criterios'!$H$30:$V$30="X")*ISNUMBER('Registro Notas'!$D9:$R9))=0, "-", SUMPRODUCT(('Matriz Criterios'!$H$30:$V$30="X")*ISNUMBER('Registro Notas'!$D9:$R9)*'Registro Notas'!$D9:$R9)/SUMPRODUCT(('Matriz Criterios'!$H$30:$V$30="X")*ISNUMBER('Registro Notas'!$D9:$R9)))</f>
        <v/>
      </c>
      <c r="AB9" s="36">
        <f>IF(SUMPRODUCT(('Matriz Criterios'!$H$31:$V$31="X")*ISNUMBER('Registro Notas'!$D9:$R9))=0, "-", SUMPRODUCT(('Matriz Criterios'!$H$31:$V$31="X")*ISNUMBER('Registro Notas'!$D9:$R9)*'Registro Notas'!$D9:$R9)/SUMPRODUCT(('Matriz Criterios'!$H$31:$V$31="X")*ISNUMBER('Registro Notas'!$D9:$R9)))</f>
        <v/>
      </c>
      <c r="AC9" s="36">
        <f>IF(SUMPRODUCT(('Matriz Criterios'!$H$32:$V$32="X")*ISNUMBER('Registro Notas'!$D9:$R9))=0, "-", SUMPRODUCT(('Matriz Criterios'!$H$32:$V$32="X")*ISNUMBER('Registro Notas'!$D9:$R9)*'Registro Notas'!$D9:$R9)/SUMPRODUCT(('Matriz Criterios'!$H$32:$V$32="X")*ISNUMBER('Registro Notas'!$D9:$R9)))</f>
        <v/>
      </c>
      <c r="AD9" s="36">
        <f>IF(SUMPRODUCT(('Matriz Criterios'!$H$33:$V$33="X")*ISNUMBER('Registro Notas'!$D9:$R9))=0, "-", SUMPRODUCT(('Matriz Criterios'!$H$33:$V$33="X")*ISNUMBER('Registro Notas'!$D9:$R9)*'Registro Notas'!$D9:$R9)/SUMPRODUCT(('Matriz Criterios'!$H$33:$V$33="X")*ISNUMBER('Registro Notas'!$D9:$R9)))</f>
        <v/>
      </c>
      <c r="AE9" s="36">
        <f>IF(SUMPRODUCT(('Matriz Criterios'!$H$34:$V$34="X")*ISNUMBER('Registro Notas'!$D9:$R9))=0, "-", SUMPRODUCT(('Matriz Criterios'!$H$34:$V$34="X")*ISNUMBER('Registro Notas'!$D9:$R9)*'Registro Notas'!$D9:$R9)/SUMPRODUCT(('Matriz Criterios'!$H$34:$V$34="X")*ISNUMBER('Registro Notas'!$D9:$R9)))</f>
        <v/>
      </c>
      <c r="AF9" s="36">
        <f>IF(SUMPRODUCT(('Matriz Criterios'!$H$35:$V$35="X")*ISNUMBER('Registro Notas'!$D9:$R9))=0, "-", SUMPRODUCT(('Matriz Criterios'!$H$35:$V$35="X")*ISNUMBER('Registro Notas'!$D9:$R9)*'Registro Notas'!$D9:$R9)/SUMPRODUCT(('Matriz Criterios'!$H$35:$V$35="X")*ISNUMBER('Registro Notas'!$D9:$R9)))</f>
        <v/>
      </c>
      <c r="AG9" s="36">
        <f>IF(SUMPRODUCT(('Matriz Criterios'!$H$36:$V$36="X")*ISNUMBER('Registro Notas'!$D9:$R9))=0, "-", SUMPRODUCT(('Matriz Criterios'!$H$36:$V$36="X")*ISNUMBER('Registro Notas'!$D9:$R9)*'Registro Notas'!$D9:$R9)/SUMPRODUCT(('Matriz Criterios'!$H$36:$V$36="X")*ISNUMBER('Registro Notas'!$D9:$R9)))</f>
        <v/>
      </c>
      <c r="AH9" s="36">
        <f>IF(SUMPRODUCT(('Matriz Criterios'!$H$37:$V$37="X")*ISNUMBER('Registro Notas'!$D9:$R9))=0, "-", SUMPRODUCT(('Matriz Criterios'!$H$37:$V$37="X")*ISNUMBER('Registro Notas'!$D9:$R9)*'Registro Notas'!$D9:$R9)/SUMPRODUCT(('Matriz Criterios'!$H$37:$V$37="X")*ISNUMBER('Registro Notas'!$D9:$R9)))</f>
        <v/>
      </c>
      <c r="AI9" s="36">
        <f>IF(SUMPRODUCT(('Matriz Criterios'!$H$38:$V$38="X")*ISNUMBER('Registro Notas'!$D9:$R9))=0, "-", SUMPRODUCT(('Matriz Criterios'!$H$38:$V$38="X")*ISNUMBER('Registro Notas'!$D9:$R9)*'Registro Notas'!$D9:$R9)/SUMPRODUCT(('Matriz Criterios'!$H$38:$V$38="X")*ISNUMBER('Registro Notas'!$D9:$R9)))</f>
        <v/>
      </c>
      <c r="AJ9" s="36">
        <f>IF(SUMPRODUCT(('Matriz Criterios'!$H$39:$V$39="X")*ISNUMBER('Registro Notas'!$D9:$R9))=0, "-", SUMPRODUCT(('Matriz Criterios'!$H$39:$V$39="X")*ISNUMBER('Registro Notas'!$D9:$R9)*'Registro Notas'!$D9:$R9)/SUMPRODUCT(('Matriz Criterios'!$H$39:$V$39="X")*ISNUMBER('Registro Notas'!$D9:$R9)))</f>
        <v/>
      </c>
      <c r="AK9" s="36">
        <f>IF(SUMPRODUCT(('Matriz Criterios'!$H$40:$V$40="X")*ISNUMBER('Registro Notas'!$D9:$R9))=0, "-", SUMPRODUCT(('Matriz Criterios'!$H$40:$V$40="X")*ISNUMBER('Registro Notas'!$D9:$R9)*'Registro Notas'!$D9:$R9)/SUMPRODUCT(('Matriz Criterios'!$H$40:$V$40="X")*ISNUMBER('Registro Notas'!$D9:$R9)))</f>
        <v/>
      </c>
      <c r="AL9" s="36">
        <f>IF(SUMPRODUCT(('Matriz Criterios'!$H$41:$V$41="X")*ISNUMBER('Registro Notas'!$D9:$R9))=0, "-", SUMPRODUCT(('Matriz Criterios'!$H$41:$V$41="X")*ISNUMBER('Registro Notas'!$D9:$R9)*'Registro Notas'!$D9:$R9)/SUMPRODUCT(('Matriz Criterios'!$H$41:$V$41="X")*ISNUMBER('Registro Notas'!$D9:$R9)))</f>
        <v/>
      </c>
      <c r="AM9" s="36">
        <f>IF(SUMPRODUCT(('Matriz Criterios'!$H$42:$V$42="X")*ISNUMBER('Registro Notas'!$D9:$R9))=0, "-", SUMPRODUCT(('Matriz Criterios'!$H$42:$V$42="X")*ISNUMBER('Registro Notas'!$D9:$R9)*'Registro Notas'!$D9:$R9)/SUMPRODUCT(('Matriz Criterios'!$H$42:$V$42="X")*ISNUMBER('Registro Notas'!$D9:$R9)))</f>
        <v/>
      </c>
      <c r="AN9" s="36">
        <f>IF(SUMPRODUCT(('Matriz Criterios'!$H$43:$V$43="X")*ISNUMBER('Registro Notas'!$D9:$R9))=0, "-", SUMPRODUCT(('Matriz Criterios'!$H$43:$V$43="X")*ISNUMBER('Registro Notas'!$D9:$R9)*'Registro Notas'!$D9:$R9)/SUMPRODUCT(('Matriz Criterios'!$H$43:$V$43="X")*ISNUMBER('Registro Notas'!$D9:$R9)))</f>
        <v/>
      </c>
      <c r="AO9" s="36">
        <f>IF(SUMPRODUCT(('Matriz Criterios'!$H$44:$V$44="X")*ISNUMBER('Registro Notas'!$D9:$R9))=0, "-", SUMPRODUCT(('Matriz Criterios'!$H$44:$V$44="X")*ISNUMBER('Registro Notas'!$D9:$R9)*'Registro Notas'!$D9:$R9)/SUMPRODUCT(('Matriz Criterios'!$H$44:$V$44="X")*ISNUMBER('Registro Notas'!$D9:$R9)))</f>
        <v/>
      </c>
      <c r="AP9" s="36">
        <f>IF(SUMPRODUCT(('Matriz Criterios'!$H$45:$V$45="X")*ISNUMBER('Registro Notas'!$D9:$R9))=0, "-", SUMPRODUCT(('Matriz Criterios'!$H$45:$V$45="X")*ISNUMBER('Registro Notas'!$D9:$R9)*'Registro Notas'!$D9:$R9)/SUMPRODUCT(('Matriz Criterios'!$H$45:$V$45="X")*ISNUMBER('Registro Notas'!$D9:$R9)))</f>
        <v/>
      </c>
      <c r="AQ9" s="45">
        <f>AVERAGE(C9:AP9)</f>
        <v/>
      </c>
      <c r="AR9" s="46">
        <f>COUNTIF(C9:AP9, "&gt;=5")</f>
        <v/>
      </c>
    </row>
    <row r="10" ht="20" customHeight="1">
      <c r="A10" s="13" t="n">
        <v>5</v>
      </c>
      <c r="B10" s="31" t="inlineStr">
        <is>
          <t>Fernández Navarro, Lucía</t>
        </is>
      </c>
      <c r="C10" s="32">
        <f>IF(SUMPRODUCT(('Matriz Criterios'!$H$6:$V$6="X")*ISNUMBER('Registro Notas'!$D10:$R10))=0, "-", SUMPRODUCT(('Matriz Criterios'!$H$6:$V$6="X")*ISNUMBER('Registro Notas'!$D10:$R10)*'Registro Notas'!$D10:$R10)/SUMPRODUCT(('Matriz Criterios'!$H$6:$V$6="X")*ISNUMBER('Registro Notas'!$D10:$R10)))</f>
        <v/>
      </c>
      <c r="D10" s="32">
        <f>IF(SUMPRODUCT(('Matriz Criterios'!$H$7:$V$7="X")*ISNUMBER('Registro Notas'!$D10:$R10))=0, "-", SUMPRODUCT(('Matriz Criterios'!$H$7:$V$7="X")*ISNUMBER('Registro Notas'!$D10:$R10)*'Registro Notas'!$D10:$R10)/SUMPRODUCT(('Matriz Criterios'!$H$7:$V$7="X")*ISNUMBER('Registro Notas'!$D10:$R10)))</f>
        <v/>
      </c>
      <c r="E10" s="32">
        <f>IF(SUMPRODUCT(('Matriz Criterios'!$H$8:$V$8="X")*ISNUMBER('Registro Notas'!$D10:$R10))=0, "-", SUMPRODUCT(('Matriz Criterios'!$H$8:$V$8="X")*ISNUMBER('Registro Notas'!$D10:$R10)*'Registro Notas'!$D10:$R10)/SUMPRODUCT(('Matriz Criterios'!$H$8:$V$8="X")*ISNUMBER('Registro Notas'!$D10:$R10)))</f>
        <v/>
      </c>
      <c r="F10" s="32">
        <f>IF(SUMPRODUCT(('Matriz Criterios'!$H$9:$V$9="X")*ISNUMBER('Registro Notas'!$D10:$R10))=0, "-", SUMPRODUCT(('Matriz Criterios'!$H$9:$V$9="X")*ISNUMBER('Registro Notas'!$D10:$R10)*'Registro Notas'!$D10:$R10)/SUMPRODUCT(('Matriz Criterios'!$H$9:$V$9="X")*ISNUMBER('Registro Notas'!$D10:$R10)))</f>
        <v/>
      </c>
      <c r="G10" s="32">
        <f>IF(SUMPRODUCT(('Matriz Criterios'!$H$10:$V$10="X")*ISNUMBER('Registro Notas'!$D10:$R10))=0, "-", SUMPRODUCT(('Matriz Criterios'!$H$10:$V$10="X")*ISNUMBER('Registro Notas'!$D10:$R10)*'Registro Notas'!$D10:$R10)/SUMPRODUCT(('Matriz Criterios'!$H$10:$V$10="X")*ISNUMBER('Registro Notas'!$D10:$R10)))</f>
        <v/>
      </c>
      <c r="H10" s="32">
        <f>IF(SUMPRODUCT(('Matriz Criterios'!$H$11:$V$11="X")*ISNUMBER('Registro Notas'!$D10:$R10))=0, "-", SUMPRODUCT(('Matriz Criterios'!$H$11:$V$11="X")*ISNUMBER('Registro Notas'!$D10:$R10)*'Registro Notas'!$D10:$R10)/SUMPRODUCT(('Matriz Criterios'!$H$11:$V$11="X")*ISNUMBER('Registro Notas'!$D10:$R10)))</f>
        <v/>
      </c>
      <c r="I10" s="32">
        <f>IF(SUMPRODUCT(('Matriz Criterios'!$H$12:$V$12="X")*ISNUMBER('Registro Notas'!$D10:$R10))=0, "-", SUMPRODUCT(('Matriz Criterios'!$H$12:$V$12="X")*ISNUMBER('Registro Notas'!$D10:$R10)*'Registro Notas'!$D10:$R10)/SUMPRODUCT(('Matriz Criterios'!$H$12:$V$12="X")*ISNUMBER('Registro Notas'!$D10:$R10)))</f>
        <v/>
      </c>
      <c r="J10" s="32">
        <f>IF(SUMPRODUCT(('Matriz Criterios'!$H$13:$V$13="X")*ISNUMBER('Registro Notas'!$D10:$R10))=0, "-", SUMPRODUCT(('Matriz Criterios'!$H$13:$V$13="X")*ISNUMBER('Registro Notas'!$D10:$R10)*'Registro Notas'!$D10:$R10)/SUMPRODUCT(('Matriz Criterios'!$H$13:$V$13="X")*ISNUMBER('Registro Notas'!$D10:$R10)))</f>
        <v/>
      </c>
      <c r="K10" s="32">
        <f>IF(SUMPRODUCT(('Matriz Criterios'!$H$14:$V$14="X")*ISNUMBER('Registro Notas'!$D10:$R10))=0, "-", SUMPRODUCT(('Matriz Criterios'!$H$14:$V$14="X")*ISNUMBER('Registro Notas'!$D10:$R10)*'Registro Notas'!$D10:$R10)/SUMPRODUCT(('Matriz Criterios'!$H$14:$V$14="X")*ISNUMBER('Registro Notas'!$D10:$R10)))</f>
        <v/>
      </c>
      <c r="L10" s="32">
        <f>IF(SUMPRODUCT(('Matriz Criterios'!$H$15:$V$15="X")*ISNUMBER('Registro Notas'!$D10:$R10))=0, "-", SUMPRODUCT(('Matriz Criterios'!$H$15:$V$15="X")*ISNUMBER('Registro Notas'!$D10:$R10)*'Registro Notas'!$D10:$R10)/SUMPRODUCT(('Matriz Criterios'!$H$15:$V$15="X")*ISNUMBER('Registro Notas'!$D10:$R10)))</f>
        <v/>
      </c>
      <c r="M10" s="32">
        <f>IF(SUMPRODUCT(('Matriz Criterios'!$H$16:$V$16="X")*ISNUMBER('Registro Notas'!$D10:$R10))=0, "-", SUMPRODUCT(('Matriz Criterios'!$H$16:$V$16="X")*ISNUMBER('Registro Notas'!$D10:$R10)*'Registro Notas'!$D10:$R10)/SUMPRODUCT(('Matriz Criterios'!$H$16:$V$16="X")*ISNUMBER('Registro Notas'!$D10:$R10)))</f>
        <v/>
      </c>
      <c r="N10" s="32">
        <f>IF(SUMPRODUCT(('Matriz Criterios'!$H$17:$V$17="X")*ISNUMBER('Registro Notas'!$D10:$R10))=0, "-", SUMPRODUCT(('Matriz Criterios'!$H$17:$V$17="X")*ISNUMBER('Registro Notas'!$D10:$R10)*'Registro Notas'!$D10:$R10)/SUMPRODUCT(('Matriz Criterios'!$H$17:$V$17="X")*ISNUMBER('Registro Notas'!$D10:$R10)))</f>
        <v/>
      </c>
      <c r="O10" s="32">
        <f>IF(SUMPRODUCT(('Matriz Criterios'!$H$18:$V$18="X")*ISNUMBER('Registro Notas'!$D10:$R10))=0, "-", SUMPRODUCT(('Matriz Criterios'!$H$18:$V$18="X")*ISNUMBER('Registro Notas'!$D10:$R10)*'Registro Notas'!$D10:$R10)/SUMPRODUCT(('Matriz Criterios'!$H$18:$V$18="X")*ISNUMBER('Registro Notas'!$D10:$R10)))</f>
        <v/>
      </c>
      <c r="P10" s="32">
        <f>IF(SUMPRODUCT(('Matriz Criterios'!$H$19:$V$19="X")*ISNUMBER('Registro Notas'!$D10:$R10))=0, "-", SUMPRODUCT(('Matriz Criterios'!$H$19:$V$19="X")*ISNUMBER('Registro Notas'!$D10:$R10)*'Registro Notas'!$D10:$R10)/SUMPRODUCT(('Matriz Criterios'!$H$19:$V$19="X")*ISNUMBER('Registro Notas'!$D10:$R10)))</f>
        <v/>
      </c>
      <c r="Q10" s="32">
        <f>IF(SUMPRODUCT(('Matriz Criterios'!$H$20:$V$20="X")*ISNUMBER('Registro Notas'!$D10:$R10))=0, "-", SUMPRODUCT(('Matriz Criterios'!$H$20:$V$20="X")*ISNUMBER('Registro Notas'!$D10:$R10)*'Registro Notas'!$D10:$R10)/SUMPRODUCT(('Matriz Criterios'!$H$20:$V$20="X")*ISNUMBER('Registro Notas'!$D10:$R10)))</f>
        <v/>
      </c>
      <c r="R10" s="32">
        <f>IF(SUMPRODUCT(('Matriz Criterios'!$H$21:$V$21="X")*ISNUMBER('Registro Notas'!$D10:$R10))=0, "-", SUMPRODUCT(('Matriz Criterios'!$H$21:$V$21="X")*ISNUMBER('Registro Notas'!$D10:$R10)*'Registro Notas'!$D10:$R10)/SUMPRODUCT(('Matriz Criterios'!$H$21:$V$21="X")*ISNUMBER('Registro Notas'!$D10:$R10)))</f>
        <v/>
      </c>
      <c r="S10" s="32">
        <f>IF(SUMPRODUCT(('Matriz Criterios'!$H$22:$V$22="X")*ISNUMBER('Registro Notas'!$D10:$R10))=0, "-", SUMPRODUCT(('Matriz Criterios'!$H$22:$V$22="X")*ISNUMBER('Registro Notas'!$D10:$R10)*'Registro Notas'!$D10:$R10)/SUMPRODUCT(('Matriz Criterios'!$H$22:$V$22="X")*ISNUMBER('Registro Notas'!$D10:$R10)))</f>
        <v/>
      </c>
      <c r="T10" s="32">
        <f>IF(SUMPRODUCT(('Matriz Criterios'!$H$23:$V$23="X")*ISNUMBER('Registro Notas'!$D10:$R10))=0, "-", SUMPRODUCT(('Matriz Criterios'!$H$23:$V$23="X")*ISNUMBER('Registro Notas'!$D10:$R10)*'Registro Notas'!$D10:$R10)/SUMPRODUCT(('Matriz Criterios'!$H$23:$V$23="X")*ISNUMBER('Registro Notas'!$D10:$R10)))</f>
        <v/>
      </c>
      <c r="U10" s="32">
        <f>IF(SUMPRODUCT(('Matriz Criterios'!$H$24:$V$24="X")*ISNUMBER('Registro Notas'!$D10:$R10))=0, "-", SUMPRODUCT(('Matriz Criterios'!$H$24:$V$24="X")*ISNUMBER('Registro Notas'!$D10:$R10)*'Registro Notas'!$D10:$R10)/SUMPRODUCT(('Matriz Criterios'!$H$24:$V$24="X")*ISNUMBER('Registro Notas'!$D10:$R10)))</f>
        <v/>
      </c>
      <c r="V10" s="32">
        <f>IF(SUMPRODUCT(('Matriz Criterios'!$H$25:$V$25="X")*ISNUMBER('Registro Notas'!$D10:$R10))=0, "-", SUMPRODUCT(('Matriz Criterios'!$H$25:$V$25="X")*ISNUMBER('Registro Notas'!$D10:$R10)*'Registro Notas'!$D10:$R10)/SUMPRODUCT(('Matriz Criterios'!$H$25:$V$25="X")*ISNUMBER('Registro Notas'!$D10:$R10)))</f>
        <v/>
      </c>
      <c r="W10" s="32">
        <f>IF(SUMPRODUCT(('Matriz Criterios'!$H$26:$V$26="X")*ISNUMBER('Registro Notas'!$D10:$R10))=0, "-", SUMPRODUCT(('Matriz Criterios'!$H$26:$V$26="X")*ISNUMBER('Registro Notas'!$D10:$R10)*'Registro Notas'!$D10:$R10)/SUMPRODUCT(('Matriz Criterios'!$H$26:$V$26="X")*ISNUMBER('Registro Notas'!$D10:$R10)))</f>
        <v/>
      </c>
      <c r="X10" s="32">
        <f>IF(SUMPRODUCT(('Matriz Criterios'!$H$27:$V$27="X")*ISNUMBER('Registro Notas'!$D10:$R10))=0, "-", SUMPRODUCT(('Matriz Criterios'!$H$27:$V$27="X")*ISNUMBER('Registro Notas'!$D10:$R10)*'Registro Notas'!$D10:$R10)/SUMPRODUCT(('Matriz Criterios'!$H$27:$V$27="X")*ISNUMBER('Registro Notas'!$D10:$R10)))</f>
        <v/>
      </c>
      <c r="Y10" s="32">
        <f>IF(SUMPRODUCT(('Matriz Criterios'!$H$28:$V$28="X")*ISNUMBER('Registro Notas'!$D10:$R10))=0, "-", SUMPRODUCT(('Matriz Criterios'!$H$28:$V$28="X")*ISNUMBER('Registro Notas'!$D10:$R10)*'Registro Notas'!$D10:$R10)/SUMPRODUCT(('Matriz Criterios'!$H$28:$V$28="X")*ISNUMBER('Registro Notas'!$D10:$R10)))</f>
        <v/>
      </c>
      <c r="Z10" s="32">
        <f>IF(SUMPRODUCT(('Matriz Criterios'!$H$29:$V$29="X")*ISNUMBER('Registro Notas'!$D10:$R10))=0, "-", SUMPRODUCT(('Matriz Criterios'!$H$29:$V$29="X")*ISNUMBER('Registro Notas'!$D10:$R10)*'Registro Notas'!$D10:$R10)/SUMPRODUCT(('Matriz Criterios'!$H$29:$V$29="X")*ISNUMBER('Registro Notas'!$D10:$R10)))</f>
        <v/>
      </c>
      <c r="AA10" s="32">
        <f>IF(SUMPRODUCT(('Matriz Criterios'!$H$30:$V$30="X")*ISNUMBER('Registro Notas'!$D10:$R10))=0, "-", SUMPRODUCT(('Matriz Criterios'!$H$30:$V$30="X")*ISNUMBER('Registro Notas'!$D10:$R10)*'Registro Notas'!$D10:$R10)/SUMPRODUCT(('Matriz Criterios'!$H$30:$V$30="X")*ISNUMBER('Registro Notas'!$D10:$R10)))</f>
        <v/>
      </c>
      <c r="AB10" s="32">
        <f>IF(SUMPRODUCT(('Matriz Criterios'!$H$31:$V$31="X")*ISNUMBER('Registro Notas'!$D10:$R10))=0, "-", SUMPRODUCT(('Matriz Criterios'!$H$31:$V$31="X")*ISNUMBER('Registro Notas'!$D10:$R10)*'Registro Notas'!$D10:$R10)/SUMPRODUCT(('Matriz Criterios'!$H$31:$V$31="X")*ISNUMBER('Registro Notas'!$D10:$R10)))</f>
        <v/>
      </c>
      <c r="AC10" s="32">
        <f>IF(SUMPRODUCT(('Matriz Criterios'!$H$32:$V$32="X")*ISNUMBER('Registro Notas'!$D10:$R10))=0, "-", SUMPRODUCT(('Matriz Criterios'!$H$32:$V$32="X")*ISNUMBER('Registro Notas'!$D10:$R10)*'Registro Notas'!$D10:$R10)/SUMPRODUCT(('Matriz Criterios'!$H$32:$V$32="X")*ISNUMBER('Registro Notas'!$D10:$R10)))</f>
        <v/>
      </c>
      <c r="AD10" s="32">
        <f>IF(SUMPRODUCT(('Matriz Criterios'!$H$33:$V$33="X")*ISNUMBER('Registro Notas'!$D10:$R10))=0, "-", SUMPRODUCT(('Matriz Criterios'!$H$33:$V$33="X")*ISNUMBER('Registro Notas'!$D10:$R10)*'Registro Notas'!$D10:$R10)/SUMPRODUCT(('Matriz Criterios'!$H$33:$V$33="X")*ISNUMBER('Registro Notas'!$D10:$R10)))</f>
        <v/>
      </c>
      <c r="AE10" s="32">
        <f>IF(SUMPRODUCT(('Matriz Criterios'!$H$34:$V$34="X")*ISNUMBER('Registro Notas'!$D10:$R10))=0, "-", SUMPRODUCT(('Matriz Criterios'!$H$34:$V$34="X")*ISNUMBER('Registro Notas'!$D10:$R10)*'Registro Notas'!$D10:$R10)/SUMPRODUCT(('Matriz Criterios'!$H$34:$V$34="X")*ISNUMBER('Registro Notas'!$D10:$R10)))</f>
        <v/>
      </c>
      <c r="AF10" s="32">
        <f>IF(SUMPRODUCT(('Matriz Criterios'!$H$35:$V$35="X")*ISNUMBER('Registro Notas'!$D10:$R10))=0, "-", SUMPRODUCT(('Matriz Criterios'!$H$35:$V$35="X")*ISNUMBER('Registro Notas'!$D10:$R10)*'Registro Notas'!$D10:$R10)/SUMPRODUCT(('Matriz Criterios'!$H$35:$V$35="X")*ISNUMBER('Registro Notas'!$D10:$R10)))</f>
        <v/>
      </c>
      <c r="AG10" s="32">
        <f>IF(SUMPRODUCT(('Matriz Criterios'!$H$36:$V$36="X")*ISNUMBER('Registro Notas'!$D10:$R10))=0, "-", SUMPRODUCT(('Matriz Criterios'!$H$36:$V$36="X")*ISNUMBER('Registro Notas'!$D10:$R10)*'Registro Notas'!$D10:$R10)/SUMPRODUCT(('Matriz Criterios'!$H$36:$V$36="X")*ISNUMBER('Registro Notas'!$D10:$R10)))</f>
        <v/>
      </c>
      <c r="AH10" s="32">
        <f>IF(SUMPRODUCT(('Matriz Criterios'!$H$37:$V$37="X")*ISNUMBER('Registro Notas'!$D10:$R10))=0, "-", SUMPRODUCT(('Matriz Criterios'!$H$37:$V$37="X")*ISNUMBER('Registro Notas'!$D10:$R10)*'Registro Notas'!$D10:$R10)/SUMPRODUCT(('Matriz Criterios'!$H$37:$V$37="X")*ISNUMBER('Registro Notas'!$D10:$R10)))</f>
        <v/>
      </c>
      <c r="AI10" s="32">
        <f>IF(SUMPRODUCT(('Matriz Criterios'!$H$38:$V$38="X")*ISNUMBER('Registro Notas'!$D10:$R10))=0, "-", SUMPRODUCT(('Matriz Criterios'!$H$38:$V$38="X")*ISNUMBER('Registro Notas'!$D10:$R10)*'Registro Notas'!$D10:$R10)/SUMPRODUCT(('Matriz Criterios'!$H$38:$V$38="X")*ISNUMBER('Registro Notas'!$D10:$R10)))</f>
        <v/>
      </c>
      <c r="AJ10" s="32">
        <f>IF(SUMPRODUCT(('Matriz Criterios'!$H$39:$V$39="X")*ISNUMBER('Registro Notas'!$D10:$R10))=0, "-", SUMPRODUCT(('Matriz Criterios'!$H$39:$V$39="X")*ISNUMBER('Registro Notas'!$D10:$R10)*'Registro Notas'!$D10:$R10)/SUMPRODUCT(('Matriz Criterios'!$H$39:$V$39="X")*ISNUMBER('Registro Notas'!$D10:$R10)))</f>
        <v/>
      </c>
      <c r="AK10" s="32">
        <f>IF(SUMPRODUCT(('Matriz Criterios'!$H$40:$V$40="X")*ISNUMBER('Registro Notas'!$D10:$R10))=0, "-", SUMPRODUCT(('Matriz Criterios'!$H$40:$V$40="X")*ISNUMBER('Registro Notas'!$D10:$R10)*'Registro Notas'!$D10:$R10)/SUMPRODUCT(('Matriz Criterios'!$H$40:$V$40="X")*ISNUMBER('Registro Notas'!$D10:$R10)))</f>
        <v/>
      </c>
      <c r="AL10" s="32">
        <f>IF(SUMPRODUCT(('Matriz Criterios'!$H$41:$V$41="X")*ISNUMBER('Registro Notas'!$D10:$R10))=0, "-", SUMPRODUCT(('Matriz Criterios'!$H$41:$V$41="X")*ISNUMBER('Registro Notas'!$D10:$R10)*'Registro Notas'!$D10:$R10)/SUMPRODUCT(('Matriz Criterios'!$H$41:$V$41="X")*ISNUMBER('Registro Notas'!$D10:$R10)))</f>
        <v/>
      </c>
      <c r="AM10" s="32">
        <f>IF(SUMPRODUCT(('Matriz Criterios'!$H$42:$V$42="X")*ISNUMBER('Registro Notas'!$D10:$R10))=0, "-", SUMPRODUCT(('Matriz Criterios'!$H$42:$V$42="X")*ISNUMBER('Registro Notas'!$D10:$R10)*'Registro Notas'!$D10:$R10)/SUMPRODUCT(('Matriz Criterios'!$H$42:$V$42="X")*ISNUMBER('Registro Notas'!$D10:$R10)))</f>
        <v/>
      </c>
      <c r="AN10" s="32">
        <f>IF(SUMPRODUCT(('Matriz Criterios'!$H$43:$V$43="X")*ISNUMBER('Registro Notas'!$D10:$R10))=0, "-", SUMPRODUCT(('Matriz Criterios'!$H$43:$V$43="X")*ISNUMBER('Registro Notas'!$D10:$R10)*'Registro Notas'!$D10:$R10)/SUMPRODUCT(('Matriz Criterios'!$H$43:$V$43="X")*ISNUMBER('Registro Notas'!$D10:$R10)))</f>
        <v/>
      </c>
      <c r="AO10" s="32">
        <f>IF(SUMPRODUCT(('Matriz Criterios'!$H$44:$V$44="X")*ISNUMBER('Registro Notas'!$D10:$R10))=0, "-", SUMPRODUCT(('Matriz Criterios'!$H$44:$V$44="X")*ISNUMBER('Registro Notas'!$D10:$R10)*'Registro Notas'!$D10:$R10)/SUMPRODUCT(('Matriz Criterios'!$H$44:$V$44="X")*ISNUMBER('Registro Notas'!$D10:$R10)))</f>
        <v/>
      </c>
      <c r="AP10" s="32">
        <f>IF(SUMPRODUCT(('Matriz Criterios'!$H$45:$V$45="X")*ISNUMBER('Registro Notas'!$D10:$R10))=0, "-", SUMPRODUCT(('Matriz Criterios'!$H$45:$V$45="X")*ISNUMBER('Registro Notas'!$D10:$R10)*'Registro Notas'!$D10:$R10)/SUMPRODUCT(('Matriz Criterios'!$H$45:$V$45="X")*ISNUMBER('Registro Notas'!$D10:$R10)))</f>
        <v/>
      </c>
      <c r="AQ10" s="45">
        <f>AVERAGE(C10:AP10)</f>
        <v/>
      </c>
      <c r="AR10" s="46">
        <f>COUNTIF(C10:AP10, "&gt;=5")</f>
        <v/>
      </c>
    </row>
    <row r="11" ht="20" customHeight="1">
      <c r="A11" s="21" t="n">
        <v>6</v>
      </c>
      <c r="B11" s="35" t="inlineStr">
        <is>
          <t>García Serrano, David</t>
        </is>
      </c>
      <c r="C11" s="36">
        <f>IF(SUMPRODUCT(('Matriz Criterios'!$H$6:$V$6="X")*ISNUMBER('Registro Notas'!$D11:$R11))=0, "-", SUMPRODUCT(('Matriz Criterios'!$H$6:$V$6="X")*ISNUMBER('Registro Notas'!$D11:$R11)*'Registro Notas'!$D11:$R11)/SUMPRODUCT(('Matriz Criterios'!$H$6:$V$6="X")*ISNUMBER('Registro Notas'!$D11:$R11)))</f>
        <v/>
      </c>
      <c r="D11" s="36">
        <f>IF(SUMPRODUCT(('Matriz Criterios'!$H$7:$V$7="X")*ISNUMBER('Registro Notas'!$D11:$R11))=0, "-", SUMPRODUCT(('Matriz Criterios'!$H$7:$V$7="X")*ISNUMBER('Registro Notas'!$D11:$R11)*'Registro Notas'!$D11:$R11)/SUMPRODUCT(('Matriz Criterios'!$H$7:$V$7="X")*ISNUMBER('Registro Notas'!$D11:$R11)))</f>
        <v/>
      </c>
      <c r="E11" s="36">
        <f>IF(SUMPRODUCT(('Matriz Criterios'!$H$8:$V$8="X")*ISNUMBER('Registro Notas'!$D11:$R11))=0, "-", SUMPRODUCT(('Matriz Criterios'!$H$8:$V$8="X")*ISNUMBER('Registro Notas'!$D11:$R11)*'Registro Notas'!$D11:$R11)/SUMPRODUCT(('Matriz Criterios'!$H$8:$V$8="X")*ISNUMBER('Registro Notas'!$D11:$R11)))</f>
        <v/>
      </c>
      <c r="F11" s="36">
        <f>IF(SUMPRODUCT(('Matriz Criterios'!$H$9:$V$9="X")*ISNUMBER('Registro Notas'!$D11:$R11))=0, "-", SUMPRODUCT(('Matriz Criterios'!$H$9:$V$9="X")*ISNUMBER('Registro Notas'!$D11:$R11)*'Registro Notas'!$D11:$R11)/SUMPRODUCT(('Matriz Criterios'!$H$9:$V$9="X")*ISNUMBER('Registro Notas'!$D11:$R11)))</f>
        <v/>
      </c>
      <c r="G11" s="36">
        <f>IF(SUMPRODUCT(('Matriz Criterios'!$H$10:$V$10="X")*ISNUMBER('Registro Notas'!$D11:$R11))=0, "-", SUMPRODUCT(('Matriz Criterios'!$H$10:$V$10="X")*ISNUMBER('Registro Notas'!$D11:$R11)*'Registro Notas'!$D11:$R11)/SUMPRODUCT(('Matriz Criterios'!$H$10:$V$10="X")*ISNUMBER('Registro Notas'!$D11:$R11)))</f>
        <v/>
      </c>
      <c r="H11" s="36">
        <f>IF(SUMPRODUCT(('Matriz Criterios'!$H$11:$V$11="X")*ISNUMBER('Registro Notas'!$D11:$R11))=0, "-", SUMPRODUCT(('Matriz Criterios'!$H$11:$V$11="X")*ISNUMBER('Registro Notas'!$D11:$R11)*'Registro Notas'!$D11:$R11)/SUMPRODUCT(('Matriz Criterios'!$H$11:$V$11="X")*ISNUMBER('Registro Notas'!$D11:$R11)))</f>
        <v/>
      </c>
      <c r="I11" s="36">
        <f>IF(SUMPRODUCT(('Matriz Criterios'!$H$12:$V$12="X")*ISNUMBER('Registro Notas'!$D11:$R11))=0, "-", SUMPRODUCT(('Matriz Criterios'!$H$12:$V$12="X")*ISNUMBER('Registro Notas'!$D11:$R11)*'Registro Notas'!$D11:$R11)/SUMPRODUCT(('Matriz Criterios'!$H$12:$V$12="X")*ISNUMBER('Registro Notas'!$D11:$R11)))</f>
        <v/>
      </c>
      <c r="J11" s="36">
        <f>IF(SUMPRODUCT(('Matriz Criterios'!$H$13:$V$13="X")*ISNUMBER('Registro Notas'!$D11:$R11))=0, "-", SUMPRODUCT(('Matriz Criterios'!$H$13:$V$13="X")*ISNUMBER('Registro Notas'!$D11:$R11)*'Registro Notas'!$D11:$R11)/SUMPRODUCT(('Matriz Criterios'!$H$13:$V$13="X")*ISNUMBER('Registro Notas'!$D11:$R11)))</f>
        <v/>
      </c>
      <c r="K11" s="36">
        <f>IF(SUMPRODUCT(('Matriz Criterios'!$H$14:$V$14="X")*ISNUMBER('Registro Notas'!$D11:$R11))=0, "-", SUMPRODUCT(('Matriz Criterios'!$H$14:$V$14="X")*ISNUMBER('Registro Notas'!$D11:$R11)*'Registro Notas'!$D11:$R11)/SUMPRODUCT(('Matriz Criterios'!$H$14:$V$14="X")*ISNUMBER('Registro Notas'!$D11:$R11)))</f>
        <v/>
      </c>
      <c r="L11" s="36">
        <f>IF(SUMPRODUCT(('Matriz Criterios'!$H$15:$V$15="X")*ISNUMBER('Registro Notas'!$D11:$R11))=0, "-", SUMPRODUCT(('Matriz Criterios'!$H$15:$V$15="X")*ISNUMBER('Registro Notas'!$D11:$R11)*'Registro Notas'!$D11:$R11)/SUMPRODUCT(('Matriz Criterios'!$H$15:$V$15="X")*ISNUMBER('Registro Notas'!$D11:$R11)))</f>
        <v/>
      </c>
      <c r="M11" s="36">
        <f>IF(SUMPRODUCT(('Matriz Criterios'!$H$16:$V$16="X")*ISNUMBER('Registro Notas'!$D11:$R11))=0, "-", SUMPRODUCT(('Matriz Criterios'!$H$16:$V$16="X")*ISNUMBER('Registro Notas'!$D11:$R11)*'Registro Notas'!$D11:$R11)/SUMPRODUCT(('Matriz Criterios'!$H$16:$V$16="X")*ISNUMBER('Registro Notas'!$D11:$R11)))</f>
        <v/>
      </c>
      <c r="N11" s="36">
        <f>IF(SUMPRODUCT(('Matriz Criterios'!$H$17:$V$17="X")*ISNUMBER('Registro Notas'!$D11:$R11))=0, "-", SUMPRODUCT(('Matriz Criterios'!$H$17:$V$17="X")*ISNUMBER('Registro Notas'!$D11:$R11)*'Registro Notas'!$D11:$R11)/SUMPRODUCT(('Matriz Criterios'!$H$17:$V$17="X")*ISNUMBER('Registro Notas'!$D11:$R11)))</f>
        <v/>
      </c>
      <c r="O11" s="36">
        <f>IF(SUMPRODUCT(('Matriz Criterios'!$H$18:$V$18="X")*ISNUMBER('Registro Notas'!$D11:$R11))=0, "-", SUMPRODUCT(('Matriz Criterios'!$H$18:$V$18="X")*ISNUMBER('Registro Notas'!$D11:$R11)*'Registro Notas'!$D11:$R11)/SUMPRODUCT(('Matriz Criterios'!$H$18:$V$18="X")*ISNUMBER('Registro Notas'!$D11:$R11)))</f>
        <v/>
      </c>
      <c r="P11" s="36">
        <f>IF(SUMPRODUCT(('Matriz Criterios'!$H$19:$V$19="X")*ISNUMBER('Registro Notas'!$D11:$R11))=0, "-", SUMPRODUCT(('Matriz Criterios'!$H$19:$V$19="X")*ISNUMBER('Registro Notas'!$D11:$R11)*'Registro Notas'!$D11:$R11)/SUMPRODUCT(('Matriz Criterios'!$H$19:$V$19="X")*ISNUMBER('Registro Notas'!$D11:$R11)))</f>
        <v/>
      </c>
      <c r="Q11" s="36">
        <f>IF(SUMPRODUCT(('Matriz Criterios'!$H$20:$V$20="X")*ISNUMBER('Registro Notas'!$D11:$R11))=0, "-", SUMPRODUCT(('Matriz Criterios'!$H$20:$V$20="X")*ISNUMBER('Registro Notas'!$D11:$R11)*'Registro Notas'!$D11:$R11)/SUMPRODUCT(('Matriz Criterios'!$H$20:$V$20="X")*ISNUMBER('Registro Notas'!$D11:$R11)))</f>
        <v/>
      </c>
      <c r="R11" s="36">
        <f>IF(SUMPRODUCT(('Matriz Criterios'!$H$21:$V$21="X")*ISNUMBER('Registro Notas'!$D11:$R11))=0, "-", SUMPRODUCT(('Matriz Criterios'!$H$21:$V$21="X")*ISNUMBER('Registro Notas'!$D11:$R11)*'Registro Notas'!$D11:$R11)/SUMPRODUCT(('Matriz Criterios'!$H$21:$V$21="X")*ISNUMBER('Registro Notas'!$D11:$R11)))</f>
        <v/>
      </c>
      <c r="S11" s="36">
        <f>IF(SUMPRODUCT(('Matriz Criterios'!$H$22:$V$22="X")*ISNUMBER('Registro Notas'!$D11:$R11))=0, "-", SUMPRODUCT(('Matriz Criterios'!$H$22:$V$22="X")*ISNUMBER('Registro Notas'!$D11:$R11)*'Registro Notas'!$D11:$R11)/SUMPRODUCT(('Matriz Criterios'!$H$22:$V$22="X")*ISNUMBER('Registro Notas'!$D11:$R11)))</f>
        <v/>
      </c>
      <c r="T11" s="36">
        <f>IF(SUMPRODUCT(('Matriz Criterios'!$H$23:$V$23="X")*ISNUMBER('Registro Notas'!$D11:$R11))=0, "-", SUMPRODUCT(('Matriz Criterios'!$H$23:$V$23="X")*ISNUMBER('Registro Notas'!$D11:$R11)*'Registro Notas'!$D11:$R11)/SUMPRODUCT(('Matriz Criterios'!$H$23:$V$23="X")*ISNUMBER('Registro Notas'!$D11:$R11)))</f>
        <v/>
      </c>
      <c r="U11" s="36">
        <f>IF(SUMPRODUCT(('Matriz Criterios'!$H$24:$V$24="X")*ISNUMBER('Registro Notas'!$D11:$R11))=0, "-", SUMPRODUCT(('Matriz Criterios'!$H$24:$V$24="X")*ISNUMBER('Registro Notas'!$D11:$R11)*'Registro Notas'!$D11:$R11)/SUMPRODUCT(('Matriz Criterios'!$H$24:$V$24="X")*ISNUMBER('Registro Notas'!$D11:$R11)))</f>
        <v/>
      </c>
      <c r="V11" s="36">
        <f>IF(SUMPRODUCT(('Matriz Criterios'!$H$25:$V$25="X")*ISNUMBER('Registro Notas'!$D11:$R11))=0, "-", SUMPRODUCT(('Matriz Criterios'!$H$25:$V$25="X")*ISNUMBER('Registro Notas'!$D11:$R11)*'Registro Notas'!$D11:$R11)/SUMPRODUCT(('Matriz Criterios'!$H$25:$V$25="X")*ISNUMBER('Registro Notas'!$D11:$R11)))</f>
        <v/>
      </c>
      <c r="W11" s="36">
        <f>IF(SUMPRODUCT(('Matriz Criterios'!$H$26:$V$26="X")*ISNUMBER('Registro Notas'!$D11:$R11))=0, "-", SUMPRODUCT(('Matriz Criterios'!$H$26:$V$26="X")*ISNUMBER('Registro Notas'!$D11:$R11)*'Registro Notas'!$D11:$R11)/SUMPRODUCT(('Matriz Criterios'!$H$26:$V$26="X")*ISNUMBER('Registro Notas'!$D11:$R11)))</f>
        <v/>
      </c>
      <c r="X11" s="36">
        <f>IF(SUMPRODUCT(('Matriz Criterios'!$H$27:$V$27="X")*ISNUMBER('Registro Notas'!$D11:$R11))=0, "-", SUMPRODUCT(('Matriz Criterios'!$H$27:$V$27="X")*ISNUMBER('Registro Notas'!$D11:$R11)*'Registro Notas'!$D11:$R11)/SUMPRODUCT(('Matriz Criterios'!$H$27:$V$27="X")*ISNUMBER('Registro Notas'!$D11:$R11)))</f>
        <v/>
      </c>
      <c r="Y11" s="36">
        <f>IF(SUMPRODUCT(('Matriz Criterios'!$H$28:$V$28="X")*ISNUMBER('Registro Notas'!$D11:$R11))=0, "-", SUMPRODUCT(('Matriz Criterios'!$H$28:$V$28="X")*ISNUMBER('Registro Notas'!$D11:$R11)*'Registro Notas'!$D11:$R11)/SUMPRODUCT(('Matriz Criterios'!$H$28:$V$28="X")*ISNUMBER('Registro Notas'!$D11:$R11)))</f>
        <v/>
      </c>
      <c r="Z11" s="36">
        <f>IF(SUMPRODUCT(('Matriz Criterios'!$H$29:$V$29="X")*ISNUMBER('Registro Notas'!$D11:$R11))=0, "-", SUMPRODUCT(('Matriz Criterios'!$H$29:$V$29="X")*ISNUMBER('Registro Notas'!$D11:$R11)*'Registro Notas'!$D11:$R11)/SUMPRODUCT(('Matriz Criterios'!$H$29:$V$29="X")*ISNUMBER('Registro Notas'!$D11:$R11)))</f>
        <v/>
      </c>
      <c r="AA11" s="36">
        <f>IF(SUMPRODUCT(('Matriz Criterios'!$H$30:$V$30="X")*ISNUMBER('Registro Notas'!$D11:$R11))=0, "-", SUMPRODUCT(('Matriz Criterios'!$H$30:$V$30="X")*ISNUMBER('Registro Notas'!$D11:$R11)*'Registro Notas'!$D11:$R11)/SUMPRODUCT(('Matriz Criterios'!$H$30:$V$30="X")*ISNUMBER('Registro Notas'!$D11:$R11)))</f>
        <v/>
      </c>
      <c r="AB11" s="36">
        <f>IF(SUMPRODUCT(('Matriz Criterios'!$H$31:$V$31="X")*ISNUMBER('Registro Notas'!$D11:$R11))=0, "-", SUMPRODUCT(('Matriz Criterios'!$H$31:$V$31="X")*ISNUMBER('Registro Notas'!$D11:$R11)*'Registro Notas'!$D11:$R11)/SUMPRODUCT(('Matriz Criterios'!$H$31:$V$31="X")*ISNUMBER('Registro Notas'!$D11:$R11)))</f>
        <v/>
      </c>
      <c r="AC11" s="36">
        <f>IF(SUMPRODUCT(('Matriz Criterios'!$H$32:$V$32="X")*ISNUMBER('Registro Notas'!$D11:$R11))=0, "-", SUMPRODUCT(('Matriz Criterios'!$H$32:$V$32="X")*ISNUMBER('Registro Notas'!$D11:$R11)*'Registro Notas'!$D11:$R11)/SUMPRODUCT(('Matriz Criterios'!$H$32:$V$32="X")*ISNUMBER('Registro Notas'!$D11:$R11)))</f>
        <v/>
      </c>
      <c r="AD11" s="36">
        <f>IF(SUMPRODUCT(('Matriz Criterios'!$H$33:$V$33="X")*ISNUMBER('Registro Notas'!$D11:$R11))=0, "-", SUMPRODUCT(('Matriz Criterios'!$H$33:$V$33="X")*ISNUMBER('Registro Notas'!$D11:$R11)*'Registro Notas'!$D11:$R11)/SUMPRODUCT(('Matriz Criterios'!$H$33:$V$33="X")*ISNUMBER('Registro Notas'!$D11:$R11)))</f>
        <v/>
      </c>
      <c r="AE11" s="36">
        <f>IF(SUMPRODUCT(('Matriz Criterios'!$H$34:$V$34="X")*ISNUMBER('Registro Notas'!$D11:$R11))=0, "-", SUMPRODUCT(('Matriz Criterios'!$H$34:$V$34="X")*ISNUMBER('Registro Notas'!$D11:$R11)*'Registro Notas'!$D11:$R11)/SUMPRODUCT(('Matriz Criterios'!$H$34:$V$34="X")*ISNUMBER('Registro Notas'!$D11:$R11)))</f>
        <v/>
      </c>
      <c r="AF11" s="36">
        <f>IF(SUMPRODUCT(('Matriz Criterios'!$H$35:$V$35="X")*ISNUMBER('Registro Notas'!$D11:$R11))=0, "-", SUMPRODUCT(('Matriz Criterios'!$H$35:$V$35="X")*ISNUMBER('Registro Notas'!$D11:$R11)*'Registro Notas'!$D11:$R11)/SUMPRODUCT(('Matriz Criterios'!$H$35:$V$35="X")*ISNUMBER('Registro Notas'!$D11:$R11)))</f>
        <v/>
      </c>
      <c r="AG11" s="36">
        <f>IF(SUMPRODUCT(('Matriz Criterios'!$H$36:$V$36="X")*ISNUMBER('Registro Notas'!$D11:$R11))=0, "-", SUMPRODUCT(('Matriz Criterios'!$H$36:$V$36="X")*ISNUMBER('Registro Notas'!$D11:$R11)*'Registro Notas'!$D11:$R11)/SUMPRODUCT(('Matriz Criterios'!$H$36:$V$36="X")*ISNUMBER('Registro Notas'!$D11:$R11)))</f>
        <v/>
      </c>
      <c r="AH11" s="36">
        <f>IF(SUMPRODUCT(('Matriz Criterios'!$H$37:$V$37="X")*ISNUMBER('Registro Notas'!$D11:$R11))=0, "-", SUMPRODUCT(('Matriz Criterios'!$H$37:$V$37="X")*ISNUMBER('Registro Notas'!$D11:$R11)*'Registro Notas'!$D11:$R11)/SUMPRODUCT(('Matriz Criterios'!$H$37:$V$37="X")*ISNUMBER('Registro Notas'!$D11:$R11)))</f>
        <v/>
      </c>
      <c r="AI11" s="36">
        <f>IF(SUMPRODUCT(('Matriz Criterios'!$H$38:$V$38="X")*ISNUMBER('Registro Notas'!$D11:$R11))=0, "-", SUMPRODUCT(('Matriz Criterios'!$H$38:$V$38="X")*ISNUMBER('Registro Notas'!$D11:$R11)*'Registro Notas'!$D11:$R11)/SUMPRODUCT(('Matriz Criterios'!$H$38:$V$38="X")*ISNUMBER('Registro Notas'!$D11:$R11)))</f>
        <v/>
      </c>
      <c r="AJ11" s="36">
        <f>IF(SUMPRODUCT(('Matriz Criterios'!$H$39:$V$39="X")*ISNUMBER('Registro Notas'!$D11:$R11))=0, "-", SUMPRODUCT(('Matriz Criterios'!$H$39:$V$39="X")*ISNUMBER('Registro Notas'!$D11:$R11)*'Registro Notas'!$D11:$R11)/SUMPRODUCT(('Matriz Criterios'!$H$39:$V$39="X")*ISNUMBER('Registro Notas'!$D11:$R11)))</f>
        <v/>
      </c>
      <c r="AK11" s="36">
        <f>IF(SUMPRODUCT(('Matriz Criterios'!$H$40:$V$40="X")*ISNUMBER('Registro Notas'!$D11:$R11))=0, "-", SUMPRODUCT(('Matriz Criterios'!$H$40:$V$40="X")*ISNUMBER('Registro Notas'!$D11:$R11)*'Registro Notas'!$D11:$R11)/SUMPRODUCT(('Matriz Criterios'!$H$40:$V$40="X")*ISNUMBER('Registro Notas'!$D11:$R11)))</f>
        <v/>
      </c>
      <c r="AL11" s="36">
        <f>IF(SUMPRODUCT(('Matriz Criterios'!$H$41:$V$41="X")*ISNUMBER('Registro Notas'!$D11:$R11))=0, "-", SUMPRODUCT(('Matriz Criterios'!$H$41:$V$41="X")*ISNUMBER('Registro Notas'!$D11:$R11)*'Registro Notas'!$D11:$R11)/SUMPRODUCT(('Matriz Criterios'!$H$41:$V$41="X")*ISNUMBER('Registro Notas'!$D11:$R11)))</f>
        <v/>
      </c>
      <c r="AM11" s="36">
        <f>IF(SUMPRODUCT(('Matriz Criterios'!$H$42:$V$42="X")*ISNUMBER('Registro Notas'!$D11:$R11))=0, "-", SUMPRODUCT(('Matriz Criterios'!$H$42:$V$42="X")*ISNUMBER('Registro Notas'!$D11:$R11)*'Registro Notas'!$D11:$R11)/SUMPRODUCT(('Matriz Criterios'!$H$42:$V$42="X")*ISNUMBER('Registro Notas'!$D11:$R11)))</f>
        <v/>
      </c>
      <c r="AN11" s="36">
        <f>IF(SUMPRODUCT(('Matriz Criterios'!$H$43:$V$43="X")*ISNUMBER('Registro Notas'!$D11:$R11))=0, "-", SUMPRODUCT(('Matriz Criterios'!$H$43:$V$43="X")*ISNUMBER('Registro Notas'!$D11:$R11)*'Registro Notas'!$D11:$R11)/SUMPRODUCT(('Matriz Criterios'!$H$43:$V$43="X")*ISNUMBER('Registro Notas'!$D11:$R11)))</f>
        <v/>
      </c>
      <c r="AO11" s="36">
        <f>IF(SUMPRODUCT(('Matriz Criterios'!$H$44:$V$44="X")*ISNUMBER('Registro Notas'!$D11:$R11))=0, "-", SUMPRODUCT(('Matriz Criterios'!$H$44:$V$44="X")*ISNUMBER('Registro Notas'!$D11:$R11)*'Registro Notas'!$D11:$R11)/SUMPRODUCT(('Matriz Criterios'!$H$44:$V$44="X")*ISNUMBER('Registro Notas'!$D11:$R11)))</f>
        <v/>
      </c>
      <c r="AP11" s="36">
        <f>IF(SUMPRODUCT(('Matriz Criterios'!$H$45:$V$45="X")*ISNUMBER('Registro Notas'!$D11:$R11))=0, "-", SUMPRODUCT(('Matriz Criterios'!$H$45:$V$45="X")*ISNUMBER('Registro Notas'!$D11:$R11)*'Registro Notas'!$D11:$R11)/SUMPRODUCT(('Matriz Criterios'!$H$45:$V$45="X")*ISNUMBER('Registro Notas'!$D11:$R11)))</f>
        <v/>
      </c>
      <c r="AQ11" s="45">
        <f>AVERAGE(C11:AP11)</f>
        <v/>
      </c>
      <c r="AR11" s="46">
        <f>COUNTIF(C11:AP11, "&gt;=5")</f>
        <v/>
      </c>
    </row>
    <row r="12" ht="20" customHeight="1">
      <c r="A12" s="13" t="n">
        <v>7</v>
      </c>
      <c r="B12" s="31" t="inlineStr">
        <is>
          <t>Herrera Cruz, Marta</t>
        </is>
      </c>
      <c r="C12" s="32">
        <f>IF(SUMPRODUCT(('Matriz Criterios'!$H$6:$V$6="X")*ISNUMBER('Registro Notas'!$D12:$R12))=0, "-", SUMPRODUCT(('Matriz Criterios'!$H$6:$V$6="X")*ISNUMBER('Registro Notas'!$D12:$R12)*'Registro Notas'!$D12:$R12)/SUMPRODUCT(('Matriz Criterios'!$H$6:$V$6="X")*ISNUMBER('Registro Notas'!$D12:$R12)))</f>
        <v/>
      </c>
      <c r="D12" s="32">
        <f>IF(SUMPRODUCT(('Matriz Criterios'!$H$7:$V$7="X")*ISNUMBER('Registro Notas'!$D12:$R12))=0, "-", SUMPRODUCT(('Matriz Criterios'!$H$7:$V$7="X")*ISNUMBER('Registro Notas'!$D12:$R12)*'Registro Notas'!$D12:$R12)/SUMPRODUCT(('Matriz Criterios'!$H$7:$V$7="X")*ISNUMBER('Registro Notas'!$D12:$R12)))</f>
        <v/>
      </c>
      <c r="E12" s="32">
        <f>IF(SUMPRODUCT(('Matriz Criterios'!$H$8:$V$8="X")*ISNUMBER('Registro Notas'!$D12:$R12))=0, "-", SUMPRODUCT(('Matriz Criterios'!$H$8:$V$8="X")*ISNUMBER('Registro Notas'!$D12:$R12)*'Registro Notas'!$D12:$R12)/SUMPRODUCT(('Matriz Criterios'!$H$8:$V$8="X")*ISNUMBER('Registro Notas'!$D12:$R12)))</f>
        <v/>
      </c>
      <c r="F12" s="32">
        <f>IF(SUMPRODUCT(('Matriz Criterios'!$H$9:$V$9="X")*ISNUMBER('Registro Notas'!$D12:$R12))=0, "-", SUMPRODUCT(('Matriz Criterios'!$H$9:$V$9="X")*ISNUMBER('Registro Notas'!$D12:$R12)*'Registro Notas'!$D12:$R12)/SUMPRODUCT(('Matriz Criterios'!$H$9:$V$9="X")*ISNUMBER('Registro Notas'!$D12:$R12)))</f>
        <v/>
      </c>
      <c r="G12" s="32">
        <f>IF(SUMPRODUCT(('Matriz Criterios'!$H$10:$V$10="X")*ISNUMBER('Registro Notas'!$D12:$R12))=0, "-", SUMPRODUCT(('Matriz Criterios'!$H$10:$V$10="X")*ISNUMBER('Registro Notas'!$D12:$R12)*'Registro Notas'!$D12:$R12)/SUMPRODUCT(('Matriz Criterios'!$H$10:$V$10="X")*ISNUMBER('Registro Notas'!$D12:$R12)))</f>
        <v/>
      </c>
      <c r="H12" s="32">
        <f>IF(SUMPRODUCT(('Matriz Criterios'!$H$11:$V$11="X")*ISNUMBER('Registro Notas'!$D12:$R12))=0, "-", SUMPRODUCT(('Matriz Criterios'!$H$11:$V$11="X")*ISNUMBER('Registro Notas'!$D12:$R12)*'Registro Notas'!$D12:$R12)/SUMPRODUCT(('Matriz Criterios'!$H$11:$V$11="X")*ISNUMBER('Registro Notas'!$D12:$R12)))</f>
        <v/>
      </c>
      <c r="I12" s="32">
        <f>IF(SUMPRODUCT(('Matriz Criterios'!$H$12:$V$12="X")*ISNUMBER('Registro Notas'!$D12:$R12))=0, "-", SUMPRODUCT(('Matriz Criterios'!$H$12:$V$12="X")*ISNUMBER('Registro Notas'!$D12:$R12)*'Registro Notas'!$D12:$R12)/SUMPRODUCT(('Matriz Criterios'!$H$12:$V$12="X")*ISNUMBER('Registro Notas'!$D12:$R12)))</f>
        <v/>
      </c>
      <c r="J12" s="32">
        <f>IF(SUMPRODUCT(('Matriz Criterios'!$H$13:$V$13="X")*ISNUMBER('Registro Notas'!$D12:$R12))=0, "-", SUMPRODUCT(('Matriz Criterios'!$H$13:$V$13="X")*ISNUMBER('Registro Notas'!$D12:$R12)*'Registro Notas'!$D12:$R12)/SUMPRODUCT(('Matriz Criterios'!$H$13:$V$13="X")*ISNUMBER('Registro Notas'!$D12:$R12)))</f>
        <v/>
      </c>
      <c r="K12" s="32">
        <f>IF(SUMPRODUCT(('Matriz Criterios'!$H$14:$V$14="X")*ISNUMBER('Registro Notas'!$D12:$R12))=0, "-", SUMPRODUCT(('Matriz Criterios'!$H$14:$V$14="X")*ISNUMBER('Registro Notas'!$D12:$R12)*'Registro Notas'!$D12:$R12)/SUMPRODUCT(('Matriz Criterios'!$H$14:$V$14="X")*ISNUMBER('Registro Notas'!$D12:$R12)))</f>
        <v/>
      </c>
      <c r="L12" s="32">
        <f>IF(SUMPRODUCT(('Matriz Criterios'!$H$15:$V$15="X")*ISNUMBER('Registro Notas'!$D12:$R12))=0, "-", SUMPRODUCT(('Matriz Criterios'!$H$15:$V$15="X")*ISNUMBER('Registro Notas'!$D12:$R12)*'Registro Notas'!$D12:$R12)/SUMPRODUCT(('Matriz Criterios'!$H$15:$V$15="X")*ISNUMBER('Registro Notas'!$D12:$R12)))</f>
        <v/>
      </c>
      <c r="M12" s="32">
        <f>IF(SUMPRODUCT(('Matriz Criterios'!$H$16:$V$16="X")*ISNUMBER('Registro Notas'!$D12:$R12))=0, "-", SUMPRODUCT(('Matriz Criterios'!$H$16:$V$16="X")*ISNUMBER('Registro Notas'!$D12:$R12)*'Registro Notas'!$D12:$R12)/SUMPRODUCT(('Matriz Criterios'!$H$16:$V$16="X")*ISNUMBER('Registro Notas'!$D12:$R12)))</f>
        <v/>
      </c>
      <c r="N12" s="32">
        <f>IF(SUMPRODUCT(('Matriz Criterios'!$H$17:$V$17="X")*ISNUMBER('Registro Notas'!$D12:$R12))=0, "-", SUMPRODUCT(('Matriz Criterios'!$H$17:$V$17="X")*ISNUMBER('Registro Notas'!$D12:$R12)*'Registro Notas'!$D12:$R12)/SUMPRODUCT(('Matriz Criterios'!$H$17:$V$17="X")*ISNUMBER('Registro Notas'!$D12:$R12)))</f>
        <v/>
      </c>
      <c r="O12" s="32">
        <f>IF(SUMPRODUCT(('Matriz Criterios'!$H$18:$V$18="X")*ISNUMBER('Registro Notas'!$D12:$R12))=0, "-", SUMPRODUCT(('Matriz Criterios'!$H$18:$V$18="X")*ISNUMBER('Registro Notas'!$D12:$R12)*'Registro Notas'!$D12:$R12)/SUMPRODUCT(('Matriz Criterios'!$H$18:$V$18="X")*ISNUMBER('Registro Notas'!$D12:$R12)))</f>
        <v/>
      </c>
      <c r="P12" s="32">
        <f>IF(SUMPRODUCT(('Matriz Criterios'!$H$19:$V$19="X")*ISNUMBER('Registro Notas'!$D12:$R12))=0, "-", SUMPRODUCT(('Matriz Criterios'!$H$19:$V$19="X")*ISNUMBER('Registro Notas'!$D12:$R12)*'Registro Notas'!$D12:$R12)/SUMPRODUCT(('Matriz Criterios'!$H$19:$V$19="X")*ISNUMBER('Registro Notas'!$D12:$R12)))</f>
        <v/>
      </c>
      <c r="Q12" s="32">
        <f>IF(SUMPRODUCT(('Matriz Criterios'!$H$20:$V$20="X")*ISNUMBER('Registro Notas'!$D12:$R12))=0, "-", SUMPRODUCT(('Matriz Criterios'!$H$20:$V$20="X")*ISNUMBER('Registro Notas'!$D12:$R12)*'Registro Notas'!$D12:$R12)/SUMPRODUCT(('Matriz Criterios'!$H$20:$V$20="X")*ISNUMBER('Registro Notas'!$D12:$R12)))</f>
        <v/>
      </c>
      <c r="R12" s="32">
        <f>IF(SUMPRODUCT(('Matriz Criterios'!$H$21:$V$21="X")*ISNUMBER('Registro Notas'!$D12:$R12))=0, "-", SUMPRODUCT(('Matriz Criterios'!$H$21:$V$21="X")*ISNUMBER('Registro Notas'!$D12:$R12)*'Registro Notas'!$D12:$R12)/SUMPRODUCT(('Matriz Criterios'!$H$21:$V$21="X")*ISNUMBER('Registro Notas'!$D12:$R12)))</f>
        <v/>
      </c>
      <c r="S12" s="32">
        <f>IF(SUMPRODUCT(('Matriz Criterios'!$H$22:$V$22="X")*ISNUMBER('Registro Notas'!$D12:$R12))=0, "-", SUMPRODUCT(('Matriz Criterios'!$H$22:$V$22="X")*ISNUMBER('Registro Notas'!$D12:$R12)*'Registro Notas'!$D12:$R12)/SUMPRODUCT(('Matriz Criterios'!$H$22:$V$22="X")*ISNUMBER('Registro Notas'!$D12:$R12)))</f>
        <v/>
      </c>
      <c r="T12" s="32">
        <f>IF(SUMPRODUCT(('Matriz Criterios'!$H$23:$V$23="X")*ISNUMBER('Registro Notas'!$D12:$R12))=0, "-", SUMPRODUCT(('Matriz Criterios'!$H$23:$V$23="X")*ISNUMBER('Registro Notas'!$D12:$R12)*'Registro Notas'!$D12:$R12)/SUMPRODUCT(('Matriz Criterios'!$H$23:$V$23="X")*ISNUMBER('Registro Notas'!$D12:$R12)))</f>
        <v/>
      </c>
      <c r="U12" s="32">
        <f>IF(SUMPRODUCT(('Matriz Criterios'!$H$24:$V$24="X")*ISNUMBER('Registro Notas'!$D12:$R12))=0, "-", SUMPRODUCT(('Matriz Criterios'!$H$24:$V$24="X")*ISNUMBER('Registro Notas'!$D12:$R12)*'Registro Notas'!$D12:$R12)/SUMPRODUCT(('Matriz Criterios'!$H$24:$V$24="X")*ISNUMBER('Registro Notas'!$D12:$R12)))</f>
        <v/>
      </c>
      <c r="V12" s="32">
        <f>IF(SUMPRODUCT(('Matriz Criterios'!$H$25:$V$25="X")*ISNUMBER('Registro Notas'!$D12:$R12))=0, "-", SUMPRODUCT(('Matriz Criterios'!$H$25:$V$25="X")*ISNUMBER('Registro Notas'!$D12:$R12)*'Registro Notas'!$D12:$R12)/SUMPRODUCT(('Matriz Criterios'!$H$25:$V$25="X")*ISNUMBER('Registro Notas'!$D12:$R12)))</f>
        <v/>
      </c>
      <c r="W12" s="32">
        <f>IF(SUMPRODUCT(('Matriz Criterios'!$H$26:$V$26="X")*ISNUMBER('Registro Notas'!$D12:$R12))=0, "-", SUMPRODUCT(('Matriz Criterios'!$H$26:$V$26="X")*ISNUMBER('Registro Notas'!$D12:$R12)*'Registro Notas'!$D12:$R12)/SUMPRODUCT(('Matriz Criterios'!$H$26:$V$26="X")*ISNUMBER('Registro Notas'!$D12:$R12)))</f>
        <v/>
      </c>
      <c r="X12" s="32">
        <f>IF(SUMPRODUCT(('Matriz Criterios'!$H$27:$V$27="X")*ISNUMBER('Registro Notas'!$D12:$R12))=0, "-", SUMPRODUCT(('Matriz Criterios'!$H$27:$V$27="X")*ISNUMBER('Registro Notas'!$D12:$R12)*'Registro Notas'!$D12:$R12)/SUMPRODUCT(('Matriz Criterios'!$H$27:$V$27="X")*ISNUMBER('Registro Notas'!$D12:$R12)))</f>
        <v/>
      </c>
      <c r="Y12" s="32">
        <f>IF(SUMPRODUCT(('Matriz Criterios'!$H$28:$V$28="X")*ISNUMBER('Registro Notas'!$D12:$R12))=0, "-", SUMPRODUCT(('Matriz Criterios'!$H$28:$V$28="X")*ISNUMBER('Registro Notas'!$D12:$R12)*'Registro Notas'!$D12:$R12)/SUMPRODUCT(('Matriz Criterios'!$H$28:$V$28="X")*ISNUMBER('Registro Notas'!$D12:$R12)))</f>
        <v/>
      </c>
      <c r="Z12" s="32">
        <f>IF(SUMPRODUCT(('Matriz Criterios'!$H$29:$V$29="X")*ISNUMBER('Registro Notas'!$D12:$R12))=0, "-", SUMPRODUCT(('Matriz Criterios'!$H$29:$V$29="X")*ISNUMBER('Registro Notas'!$D12:$R12)*'Registro Notas'!$D12:$R12)/SUMPRODUCT(('Matriz Criterios'!$H$29:$V$29="X")*ISNUMBER('Registro Notas'!$D12:$R12)))</f>
        <v/>
      </c>
      <c r="AA12" s="32">
        <f>IF(SUMPRODUCT(('Matriz Criterios'!$H$30:$V$30="X")*ISNUMBER('Registro Notas'!$D12:$R12))=0, "-", SUMPRODUCT(('Matriz Criterios'!$H$30:$V$30="X")*ISNUMBER('Registro Notas'!$D12:$R12)*'Registro Notas'!$D12:$R12)/SUMPRODUCT(('Matriz Criterios'!$H$30:$V$30="X")*ISNUMBER('Registro Notas'!$D12:$R12)))</f>
        <v/>
      </c>
      <c r="AB12" s="32">
        <f>IF(SUMPRODUCT(('Matriz Criterios'!$H$31:$V$31="X")*ISNUMBER('Registro Notas'!$D12:$R12))=0, "-", SUMPRODUCT(('Matriz Criterios'!$H$31:$V$31="X")*ISNUMBER('Registro Notas'!$D12:$R12)*'Registro Notas'!$D12:$R12)/SUMPRODUCT(('Matriz Criterios'!$H$31:$V$31="X")*ISNUMBER('Registro Notas'!$D12:$R12)))</f>
        <v/>
      </c>
      <c r="AC12" s="32">
        <f>IF(SUMPRODUCT(('Matriz Criterios'!$H$32:$V$32="X")*ISNUMBER('Registro Notas'!$D12:$R12))=0, "-", SUMPRODUCT(('Matriz Criterios'!$H$32:$V$32="X")*ISNUMBER('Registro Notas'!$D12:$R12)*'Registro Notas'!$D12:$R12)/SUMPRODUCT(('Matriz Criterios'!$H$32:$V$32="X")*ISNUMBER('Registro Notas'!$D12:$R12)))</f>
        <v/>
      </c>
      <c r="AD12" s="32">
        <f>IF(SUMPRODUCT(('Matriz Criterios'!$H$33:$V$33="X")*ISNUMBER('Registro Notas'!$D12:$R12))=0, "-", SUMPRODUCT(('Matriz Criterios'!$H$33:$V$33="X")*ISNUMBER('Registro Notas'!$D12:$R12)*'Registro Notas'!$D12:$R12)/SUMPRODUCT(('Matriz Criterios'!$H$33:$V$33="X")*ISNUMBER('Registro Notas'!$D12:$R12)))</f>
        <v/>
      </c>
      <c r="AE12" s="32">
        <f>IF(SUMPRODUCT(('Matriz Criterios'!$H$34:$V$34="X")*ISNUMBER('Registro Notas'!$D12:$R12))=0, "-", SUMPRODUCT(('Matriz Criterios'!$H$34:$V$34="X")*ISNUMBER('Registro Notas'!$D12:$R12)*'Registro Notas'!$D12:$R12)/SUMPRODUCT(('Matriz Criterios'!$H$34:$V$34="X")*ISNUMBER('Registro Notas'!$D12:$R12)))</f>
        <v/>
      </c>
      <c r="AF12" s="32">
        <f>IF(SUMPRODUCT(('Matriz Criterios'!$H$35:$V$35="X")*ISNUMBER('Registro Notas'!$D12:$R12))=0, "-", SUMPRODUCT(('Matriz Criterios'!$H$35:$V$35="X")*ISNUMBER('Registro Notas'!$D12:$R12)*'Registro Notas'!$D12:$R12)/SUMPRODUCT(('Matriz Criterios'!$H$35:$V$35="X")*ISNUMBER('Registro Notas'!$D12:$R12)))</f>
        <v/>
      </c>
      <c r="AG12" s="32">
        <f>IF(SUMPRODUCT(('Matriz Criterios'!$H$36:$V$36="X")*ISNUMBER('Registro Notas'!$D12:$R12))=0, "-", SUMPRODUCT(('Matriz Criterios'!$H$36:$V$36="X")*ISNUMBER('Registro Notas'!$D12:$R12)*'Registro Notas'!$D12:$R12)/SUMPRODUCT(('Matriz Criterios'!$H$36:$V$36="X")*ISNUMBER('Registro Notas'!$D12:$R12)))</f>
        <v/>
      </c>
      <c r="AH12" s="32">
        <f>IF(SUMPRODUCT(('Matriz Criterios'!$H$37:$V$37="X")*ISNUMBER('Registro Notas'!$D12:$R12))=0, "-", SUMPRODUCT(('Matriz Criterios'!$H$37:$V$37="X")*ISNUMBER('Registro Notas'!$D12:$R12)*'Registro Notas'!$D12:$R12)/SUMPRODUCT(('Matriz Criterios'!$H$37:$V$37="X")*ISNUMBER('Registro Notas'!$D12:$R12)))</f>
        <v/>
      </c>
      <c r="AI12" s="32">
        <f>IF(SUMPRODUCT(('Matriz Criterios'!$H$38:$V$38="X")*ISNUMBER('Registro Notas'!$D12:$R12))=0, "-", SUMPRODUCT(('Matriz Criterios'!$H$38:$V$38="X")*ISNUMBER('Registro Notas'!$D12:$R12)*'Registro Notas'!$D12:$R12)/SUMPRODUCT(('Matriz Criterios'!$H$38:$V$38="X")*ISNUMBER('Registro Notas'!$D12:$R12)))</f>
        <v/>
      </c>
      <c r="AJ12" s="32">
        <f>IF(SUMPRODUCT(('Matriz Criterios'!$H$39:$V$39="X")*ISNUMBER('Registro Notas'!$D12:$R12))=0, "-", SUMPRODUCT(('Matriz Criterios'!$H$39:$V$39="X")*ISNUMBER('Registro Notas'!$D12:$R12)*'Registro Notas'!$D12:$R12)/SUMPRODUCT(('Matriz Criterios'!$H$39:$V$39="X")*ISNUMBER('Registro Notas'!$D12:$R12)))</f>
        <v/>
      </c>
      <c r="AK12" s="32">
        <f>IF(SUMPRODUCT(('Matriz Criterios'!$H$40:$V$40="X")*ISNUMBER('Registro Notas'!$D12:$R12))=0, "-", SUMPRODUCT(('Matriz Criterios'!$H$40:$V$40="X")*ISNUMBER('Registro Notas'!$D12:$R12)*'Registro Notas'!$D12:$R12)/SUMPRODUCT(('Matriz Criterios'!$H$40:$V$40="X")*ISNUMBER('Registro Notas'!$D12:$R12)))</f>
        <v/>
      </c>
      <c r="AL12" s="32">
        <f>IF(SUMPRODUCT(('Matriz Criterios'!$H$41:$V$41="X")*ISNUMBER('Registro Notas'!$D12:$R12))=0, "-", SUMPRODUCT(('Matriz Criterios'!$H$41:$V$41="X")*ISNUMBER('Registro Notas'!$D12:$R12)*'Registro Notas'!$D12:$R12)/SUMPRODUCT(('Matriz Criterios'!$H$41:$V$41="X")*ISNUMBER('Registro Notas'!$D12:$R12)))</f>
        <v/>
      </c>
      <c r="AM12" s="32">
        <f>IF(SUMPRODUCT(('Matriz Criterios'!$H$42:$V$42="X")*ISNUMBER('Registro Notas'!$D12:$R12))=0, "-", SUMPRODUCT(('Matriz Criterios'!$H$42:$V$42="X")*ISNUMBER('Registro Notas'!$D12:$R12)*'Registro Notas'!$D12:$R12)/SUMPRODUCT(('Matriz Criterios'!$H$42:$V$42="X")*ISNUMBER('Registro Notas'!$D12:$R12)))</f>
        <v/>
      </c>
      <c r="AN12" s="32">
        <f>IF(SUMPRODUCT(('Matriz Criterios'!$H$43:$V$43="X")*ISNUMBER('Registro Notas'!$D12:$R12))=0, "-", SUMPRODUCT(('Matriz Criterios'!$H$43:$V$43="X")*ISNUMBER('Registro Notas'!$D12:$R12)*'Registro Notas'!$D12:$R12)/SUMPRODUCT(('Matriz Criterios'!$H$43:$V$43="X")*ISNUMBER('Registro Notas'!$D12:$R12)))</f>
        <v/>
      </c>
      <c r="AO12" s="32">
        <f>IF(SUMPRODUCT(('Matriz Criterios'!$H$44:$V$44="X")*ISNUMBER('Registro Notas'!$D12:$R12))=0, "-", SUMPRODUCT(('Matriz Criterios'!$H$44:$V$44="X")*ISNUMBER('Registro Notas'!$D12:$R12)*'Registro Notas'!$D12:$R12)/SUMPRODUCT(('Matriz Criterios'!$H$44:$V$44="X")*ISNUMBER('Registro Notas'!$D12:$R12)))</f>
        <v/>
      </c>
      <c r="AP12" s="32">
        <f>IF(SUMPRODUCT(('Matriz Criterios'!$H$45:$V$45="X")*ISNUMBER('Registro Notas'!$D12:$R12))=0, "-", SUMPRODUCT(('Matriz Criterios'!$H$45:$V$45="X")*ISNUMBER('Registro Notas'!$D12:$R12)*'Registro Notas'!$D12:$R12)/SUMPRODUCT(('Matriz Criterios'!$H$45:$V$45="X")*ISNUMBER('Registro Notas'!$D12:$R12)))</f>
        <v/>
      </c>
      <c r="AQ12" s="45">
        <f>AVERAGE(C12:AP12)</f>
        <v/>
      </c>
      <c r="AR12" s="46">
        <f>COUNTIF(C12:AP12, "&gt;=5")</f>
        <v/>
      </c>
    </row>
    <row r="13" ht="20" customHeight="1">
      <c r="A13" s="21" t="n">
        <v>8</v>
      </c>
      <c r="B13" s="35" t="inlineStr">
        <is>
          <t>Jiménez Ortiz, Pablo</t>
        </is>
      </c>
      <c r="C13" s="36">
        <f>IF(SUMPRODUCT(('Matriz Criterios'!$H$6:$V$6="X")*ISNUMBER('Registro Notas'!$D13:$R13))=0, "-", SUMPRODUCT(('Matriz Criterios'!$H$6:$V$6="X")*ISNUMBER('Registro Notas'!$D13:$R13)*'Registro Notas'!$D13:$R13)/SUMPRODUCT(('Matriz Criterios'!$H$6:$V$6="X")*ISNUMBER('Registro Notas'!$D13:$R13)))</f>
        <v/>
      </c>
      <c r="D13" s="36">
        <f>IF(SUMPRODUCT(('Matriz Criterios'!$H$7:$V$7="X")*ISNUMBER('Registro Notas'!$D13:$R13))=0, "-", SUMPRODUCT(('Matriz Criterios'!$H$7:$V$7="X")*ISNUMBER('Registro Notas'!$D13:$R13)*'Registro Notas'!$D13:$R13)/SUMPRODUCT(('Matriz Criterios'!$H$7:$V$7="X")*ISNUMBER('Registro Notas'!$D13:$R13)))</f>
        <v/>
      </c>
      <c r="E13" s="36">
        <f>IF(SUMPRODUCT(('Matriz Criterios'!$H$8:$V$8="X")*ISNUMBER('Registro Notas'!$D13:$R13))=0, "-", SUMPRODUCT(('Matriz Criterios'!$H$8:$V$8="X")*ISNUMBER('Registro Notas'!$D13:$R13)*'Registro Notas'!$D13:$R13)/SUMPRODUCT(('Matriz Criterios'!$H$8:$V$8="X")*ISNUMBER('Registro Notas'!$D13:$R13)))</f>
        <v/>
      </c>
      <c r="F13" s="36">
        <f>IF(SUMPRODUCT(('Matriz Criterios'!$H$9:$V$9="X")*ISNUMBER('Registro Notas'!$D13:$R13))=0, "-", SUMPRODUCT(('Matriz Criterios'!$H$9:$V$9="X")*ISNUMBER('Registro Notas'!$D13:$R13)*'Registro Notas'!$D13:$R13)/SUMPRODUCT(('Matriz Criterios'!$H$9:$V$9="X")*ISNUMBER('Registro Notas'!$D13:$R13)))</f>
        <v/>
      </c>
      <c r="G13" s="36">
        <f>IF(SUMPRODUCT(('Matriz Criterios'!$H$10:$V$10="X")*ISNUMBER('Registro Notas'!$D13:$R13))=0, "-", SUMPRODUCT(('Matriz Criterios'!$H$10:$V$10="X")*ISNUMBER('Registro Notas'!$D13:$R13)*'Registro Notas'!$D13:$R13)/SUMPRODUCT(('Matriz Criterios'!$H$10:$V$10="X")*ISNUMBER('Registro Notas'!$D13:$R13)))</f>
        <v/>
      </c>
      <c r="H13" s="36">
        <f>IF(SUMPRODUCT(('Matriz Criterios'!$H$11:$V$11="X")*ISNUMBER('Registro Notas'!$D13:$R13))=0, "-", SUMPRODUCT(('Matriz Criterios'!$H$11:$V$11="X")*ISNUMBER('Registro Notas'!$D13:$R13)*'Registro Notas'!$D13:$R13)/SUMPRODUCT(('Matriz Criterios'!$H$11:$V$11="X")*ISNUMBER('Registro Notas'!$D13:$R13)))</f>
        <v/>
      </c>
      <c r="I13" s="36">
        <f>IF(SUMPRODUCT(('Matriz Criterios'!$H$12:$V$12="X")*ISNUMBER('Registro Notas'!$D13:$R13))=0, "-", SUMPRODUCT(('Matriz Criterios'!$H$12:$V$12="X")*ISNUMBER('Registro Notas'!$D13:$R13)*'Registro Notas'!$D13:$R13)/SUMPRODUCT(('Matriz Criterios'!$H$12:$V$12="X")*ISNUMBER('Registro Notas'!$D13:$R13)))</f>
        <v/>
      </c>
      <c r="J13" s="36">
        <f>IF(SUMPRODUCT(('Matriz Criterios'!$H$13:$V$13="X")*ISNUMBER('Registro Notas'!$D13:$R13))=0, "-", SUMPRODUCT(('Matriz Criterios'!$H$13:$V$13="X")*ISNUMBER('Registro Notas'!$D13:$R13)*'Registro Notas'!$D13:$R13)/SUMPRODUCT(('Matriz Criterios'!$H$13:$V$13="X")*ISNUMBER('Registro Notas'!$D13:$R13)))</f>
        <v/>
      </c>
      <c r="K13" s="36">
        <f>IF(SUMPRODUCT(('Matriz Criterios'!$H$14:$V$14="X")*ISNUMBER('Registro Notas'!$D13:$R13))=0, "-", SUMPRODUCT(('Matriz Criterios'!$H$14:$V$14="X")*ISNUMBER('Registro Notas'!$D13:$R13)*'Registro Notas'!$D13:$R13)/SUMPRODUCT(('Matriz Criterios'!$H$14:$V$14="X")*ISNUMBER('Registro Notas'!$D13:$R13)))</f>
        <v/>
      </c>
      <c r="L13" s="36">
        <f>IF(SUMPRODUCT(('Matriz Criterios'!$H$15:$V$15="X")*ISNUMBER('Registro Notas'!$D13:$R13))=0, "-", SUMPRODUCT(('Matriz Criterios'!$H$15:$V$15="X")*ISNUMBER('Registro Notas'!$D13:$R13)*'Registro Notas'!$D13:$R13)/SUMPRODUCT(('Matriz Criterios'!$H$15:$V$15="X")*ISNUMBER('Registro Notas'!$D13:$R13)))</f>
        <v/>
      </c>
      <c r="M13" s="36">
        <f>IF(SUMPRODUCT(('Matriz Criterios'!$H$16:$V$16="X")*ISNUMBER('Registro Notas'!$D13:$R13))=0, "-", SUMPRODUCT(('Matriz Criterios'!$H$16:$V$16="X")*ISNUMBER('Registro Notas'!$D13:$R13)*'Registro Notas'!$D13:$R13)/SUMPRODUCT(('Matriz Criterios'!$H$16:$V$16="X")*ISNUMBER('Registro Notas'!$D13:$R13)))</f>
        <v/>
      </c>
      <c r="N13" s="36">
        <f>IF(SUMPRODUCT(('Matriz Criterios'!$H$17:$V$17="X")*ISNUMBER('Registro Notas'!$D13:$R13))=0, "-", SUMPRODUCT(('Matriz Criterios'!$H$17:$V$17="X")*ISNUMBER('Registro Notas'!$D13:$R13)*'Registro Notas'!$D13:$R13)/SUMPRODUCT(('Matriz Criterios'!$H$17:$V$17="X")*ISNUMBER('Registro Notas'!$D13:$R13)))</f>
        <v/>
      </c>
      <c r="O13" s="36">
        <f>IF(SUMPRODUCT(('Matriz Criterios'!$H$18:$V$18="X")*ISNUMBER('Registro Notas'!$D13:$R13))=0, "-", SUMPRODUCT(('Matriz Criterios'!$H$18:$V$18="X")*ISNUMBER('Registro Notas'!$D13:$R13)*'Registro Notas'!$D13:$R13)/SUMPRODUCT(('Matriz Criterios'!$H$18:$V$18="X")*ISNUMBER('Registro Notas'!$D13:$R13)))</f>
        <v/>
      </c>
      <c r="P13" s="36">
        <f>IF(SUMPRODUCT(('Matriz Criterios'!$H$19:$V$19="X")*ISNUMBER('Registro Notas'!$D13:$R13))=0, "-", SUMPRODUCT(('Matriz Criterios'!$H$19:$V$19="X")*ISNUMBER('Registro Notas'!$D13:$R13)*'Registro Notas'!$D13:$R13)/SUMPRODUCT(('Matriz Criterios'!$H$19:$V$19="X")*ISNUMBER('Registro Notas'!$D13:$R13)))</f>
        <v/>
      </c>
      <c r="Q13" s="36">
        <f>IF(SUMPRODUCT(('Matriz Criterios'!$H$20:$V$20="X")*ISNUMBER('Registro Notas'!$D13:$R13))=0, "-", SUMPRODUCT(('Matriz Criterios'!$H$20:$V$20="X")*ISNUMBER('Registro Notas'!$D13:$R13)*'Registro Notas'!$D13:$R13)/SUMPRODUCT(('Matriz Criterios'!$H$20:$V$20="X")*ISNUMBER('Registro Notas'!$D13:$R13)))</f>
        <v/>
      </c>
      <c r="R13" s="36">
        <f>IF(SUMPRODUCT(('Matriz Criterios'!$H$21:$V$21="X")*ISNUMBER('Registro Notas'!$D13:$R13))=0, "-", SUMPRODUCT(('Matriz Criterios'!$H$21:$V$21="X")*ISNUMBER('Registro Notas'!$D13:$R13)*'Registro Notas'!$D13:$R13)/SUMPRODUCT(('Matriz Criterios'!$H$21:$V$21="X")*ISNUMBER('Registro Notas'!$D13:$R13)))</f>
        <v/>
      </c>
      <c r="S13" s="36">
        <f>IF(SUMPRODUCT(('Matriz Criterios'!$H$22:$V$22="X")*ISNUMBER('Registro Notas'!$D13:$R13))=0, "-", SUMPRODUCT(('Matriz Criterios'!$H$22:$V$22="X")*ISNUMBER('Registro Notas'!$D13:$R13)*'Registro Notas'!$D13:$R13)/SUMPRODUCT(('Matriz Criterios'!$H$22:$V$22="X")*ISNUMBER('Registro Notas'!$D13:$R13)))</f>
        <v/>
      </c>
      <c r="T13" s="36">
        <f>IF(SUMPRODUCT(('Matriz Criterios'!$H$23:$V$23="X")*ISNUMBER('Registro Notas'!$D13:$R13))=0, "-", SUMPRODUCT(('Matriz Criterios'!$H$23:$V$23="X")*ISNUMBER('Registro Notas'!$D13:$R13)*'Registro Notas'!$D13:$R13)/SUMPRODUCT(('Matriz Criterios'!$H$23:$V$23="X")*ISNUMBER('Registro Notas'!$D13:$R13)))</f>
        <v/>
      </c>
      <c r="U13" s="36">
        <f>IF(SUMPRODUCT(('Matriz Criterios'!$H$24:$V$24="X")*ISNUMBER('Registro Notas'!$D13:$R13))=0, "-", SUMPRODUCT(('Matriz Criterios'!$H$24:$V$24="X")*ISNUMBER('Registro Notas'!$D13:$R13)*'Registro Notas'!$D13:$R13)/SUMPRODUCT(('Matriz Criterios'!$H$24:$V$24="X")*ISNUMBER('Registro Notas'!$D13:$R13)))</f>
        <v/>
      </c>
      <c r="V13" s="36">
        <f>IF(SUMPRODUCT(('Matriz Criterios'!$H$25:$V$25="X")*ISNUMBER('Registro Notas'!$D13:$R13))=0, "-", SUMPRODUCT(('Matriz Criterios'!$H$25:$V$25="X")*ISNUMBER('Registro Notas'!$D13:$R13)*'Registro Notas'!$D13:$R13)/SUMPRODUCT(('Matriz Criterios'!$H$25:$V$25="X")*ISNUMBER('Registro Notas'!$D13:$R13)))</f>
        <v/>
      </c>
      <c r="W13" s="36">
        <f>IF(SUMPRODUCT(('Matriz Criterios'!$H$26:$V$26="X")*ISNUMBER('Registro Notas'!$D13:$R13))=0, "-", SUMPRODUCT(('Matriz Criterios'!$H$26:$V$26="X")*ISNUMBER('Registro Notas'!$D13:$R13)*'Registro Notas'!$D13:$R13)/SUMPRODUCT(('Matriz Criterios'!$H$26:$V$26="X")*ISNUMBER('Registro Notas'!$D13:$R13)))</f>
        <v/>
      </c>
      <c r="X13" s="36">
        <f>IF(SUMPRODUCT(('Matriz Criterios'!$H$27:$V$27="X")*ISNUMBER('Registro Notas'!$D13:$R13))=0, "-", SUMPRODUCT(('Matriz Criterios'!$H$27:$V$27="X")*ISNUMBER('Registro Notas'!$D13:$R13)*'Registro Notas'!$D13:$R13)/SUMPRODUCT(('Matriz Criterios'!$H$27:$V$27="X")*ISNUMBER('Registro Notas'!$D13:$R13)))</f>
        <v/>
      </c>
      <c r="Y13" s="36">
        <f>IF(SUMPRODUCT(('Matriz Criterios'!$H$28:$V$28="X")*ISNUMBER('Registro Notas'!$D13:$R13))=0, "-", SUMPRODUCT(('Matriz Criterios'!$H$28:$V$28="X")*ISNUMBER('Registro Notas'!$D13:$R13)*'Registro Notas'!$D13:$R13)/SUMPRODUCT(('Matriz Criterios'!$H$28:$V$28="X")*ISNUMBER('Registro Notas'!$D13:$R13)))</f>
        <v/>
      </c>
      <c r="Z13" s="36">
        <f>IF(SUMPRODUCT(('Matriz Criterios'!$H$29:$V$29="X")*ISNUMBER('Registro Notas'!$D13:$R13))=0, "-", SUMPRODUCT(('Matriz Criterios'!$H$29:$V$29="X")*ISNUMBER('Registro Notas'!$D13:$R13)*'Registro Notas'!$D13:$R13)/SUMPRODUCT(('Matriz Criterios'!$H$29:$V$29="X")*ISNUMBER('Registro Notas'!$D13:$R13)))</f>
        <v/>
      </c>
      <c r="AA13" s="36">
        <f>IF(SUMPRODUCT(('Matriz Criterios'!$H$30:$V$30="X")*ISNUMBER('Registro Notas'!$D13:$R13))=0, "-", SUMPRODUCT(('Matriz Criterios'!$H$30:$V$30="X")*ISNUMBER('Registro Notas'!$D13:$R13)*'Registro Notas'!$D13:$R13)/SUMPRODUCT(('Matriz Criterios'!$H$30:$V$30="X")*ISNUMBER('Registro Notas'!$D13:$R13)))</f>
        <v/>
      </c>
      <c r="AB13" s="36">
        <f>IF(SUMPRODUCT(('Matriz Criterios'!$H$31:$V$31="X")*ISNUMBER('Registro Notas'!$D13:$R13))=0, "-", SUMPRODUCT(('Matriz Criterios'!$H$31:$V$31="X")*ISNUMBER('Registro Notas'!$D13:$R13)*'Registro Notas'!$D13:$R13)/SUMPRODUCT(('Matriz Criterios'!$H$31:$V$31="X")*ISNUMBER('Registro Notas'!$D13:$R13)))</f>
        <v/>
      </c>
      <c r="AC13" s="36">
        <f>IF(SUMPRODUCT(('Matriz Criterios'!$H$32:$V$32="X")*ISNUMBER('Registro Notas'!$D13:$R13))=0, "-", SUMPRODUCT(('Matriz Criterios'!$H$32:$V$32="X")*ISNUMBER('Registro Notas'!$D13:$R13)*'Registro Notas'!$D13:$R13)/SUMPRODUCT(('Matriz Criterios'!$H$32:$V$32="X")*ISNUMBER('Registro Notas'!$D13:$R13)))</f>
        <v/>
      </c>
      <c r="AD13" s="36">
        <f>IF(SUMPRODUCT(('Matriz Criterios'!$H$33:$V$33="X")*ISNUMBER('Registro Notas'!$D13:$R13))=0, "-", SUMPRODUCT(('Matriz Criterios'!$H$33:$V$33="X")*ISNUMBER('Registro Notas'!$D13:$R13)*'Registro Notas'!$D13:$R13)/SUMPRODUCT(('Matriz Criterios'!$H$33:$V$33="X")*ISNUMBER('Registro Notas'!$D13:$R13)))</f>
        <v/>
      </c>
      <c r="AE13" s="36">
        <f>IF(SUMPRODUCT(('Matriz Criterios'!$H$34:$V$34="X")*ISNUMBER('Registro Notas'!$D13:$R13))=0, "-", SUMPRODUCT(('Matriz Criterios'!$H$34:$V$34="X")*ISNUMBER('Registro Notas'!$D13:$R13)*'Registro Notas'!$D13:$R13)/SUMPRODUCT(('Matriz Criterios'!$H$34:$V$34="X")*ISNUMBER('Registro Notas'!$D13:$R13)))</f>
        <v/>
      </c>
      <c r="AF13" s="36">
        <f>IF(SUMPRODUCT(('Matriz Criterios'!$H$35:$V$35="X")*ISNUMBER('Registro Notas'!$D13:$R13))=0, "-", SUMPRODUCT(('Matriz Criterios'!$H$35:$V$35="X")*ISNUMBER('Registro Notas'!$D13:$R13)*'Registro Notas'!$D13:$R13)/SUMPRODUCT(('Matriz Criterios'!$H$35:$V$35="X")*ISNUMBER('Registro Notas'!$D13:$R13)))</f>
        <v/>
      </c>
      <c r="AG13" s="36">
        <f>IF(SUMPRODUCT(('Matriz Criterios'!$H$36:$V$36="X")*ISNUMBER('Registro Notas'!$D13:$R13))=0, "-", SUMPRODUCT(('Matriz Criterios'!$H$36:$V$36="X")*ISNUMBER('Registro Notas'!$D13:$R13)*'Registro Notas'!$D13:$R13)/SUMPRODUCT(('Matriz Criterios'!$H$36:$V$36="X")*ISNUMBER('Registro Notas'!$D13:$R13)))</f>
        <v/>
      </c>
      <c r="AH13" s="36">
        <f>IF(SUMPRODUCT(('Matriz Criterios'!$H$37:$V$37="X")*ISNUMBER('Registro Notas'!$D13:$R13))=0, "-", SUMPRODUCT(('Matriz Criterios'!$H$37:$V$37="X")*ISNUMBER('Registro Notas'!$D13:$R13)*'Registro Notas'!$D13:$R13)/SUMPRODUCT(('Matriz Criterios'!$H$37:$V$37="X")*ISNUMBER('Registro Notas'!$D13:$R13)))</f>
        <v/>
      </c>
      <c r="AI13" s="36">
        <f>IF(SUMPRODUCT(('Matriz Criterios'!$H$38:$V$38="X")*ISNUMBER('Registro Notas'!$D13:$R13))=0, "-", SUMPRODUCT(('Matriz Criterios'!$H$38:$V$38="X")*ISNUMBER('Registro Notas'!$D13:$R13)*'Registro Notas'!$D13:$R13)/SUMPRODUCT(('Matriz Criterios'!$H$38:$V$38="X")*ISNUMBER('Registro Notas'!$D13:$R13)))</f>
        <v/>
      </c>
      <c r="AJ13" s="36">
        <f>IF(SUMPRODUCT(('Matriz Criterios'!$H$39:$V$39="X")*ISNUMBER('Registro Notas'!$D13:$R13))=0, "-", SUMPRODUCT(('Matriz Criterios'!$H$39:$V$39="X")*ISNUMBER('Registro Notas'!$D13:$R13)*'Registro Notas'!$D13:$R13)/SUMPRODUCT(('Matriz Criterios'!$H$39:$V$39="X")*ISNUMBER('Registro Notas'!$D13:$R13)))</f>
        <v/>
      </c>
      <c r="AK13" s="36">
        <f>IF(SUMPRODUCT(('Matriz Criterios'!$H$40:$V$40="X")*ISNUMBER('Registro Notas'!$D13:$R13))=0, "-", SUMPRODUCT(('Matriz Criterios'!$H$40:$V$40="X")*ISNUMBER('Registro Notas'!$D13:$R13)*'Registro Notas'!$D13:$R13)/SUMPRODUCT(('Matriz Criterios'!$H$40:$V$40="X")*ISNUMBER('Registro Notas'!$D13:$R13)))</f>
        <v/>
      </c>
      <c r="AL13" s="36">
        <f>IF(SUMPRODUCT(('Matriz Criterios'!$H$41:$V$41="X")*ISNUMBER('Registro Notas'!$D13:$R13))=0, "-", SUMPRODUCT(('Matriz Criterios'!$H$41:$V$41="X")*ISNUMBER('Registro Notas'!$D13:$R13)*'Registro Notas'!$D13:$R13)/SUMPRODUCT(('Matriz Criterios'!$H$41:$V$41="X")*ISNUMBER('Registro Notas'!$D13:$R13)))</f>
        <v/>
      </c>
      <c r="AM13" s="36">
        <f>IF(SUMPRODUCT(('Matriz Criterios'!$H$42:$V$42="X")*ISNUMBER('Registro Notas'!$D13:$R13))=0, "-", SUMPRODUCT(('Matriz Criterios'!$H$42:$V$42="X")*ISNUMBER('Registro Notas'!$D13:$R13)*'Registro Notas'!$D13:$R13)/SUMPRODUCT(('Matriz Criterios'!$H$42:$V$42="X")*ISNUMBER('Registro Notas'!$D13:$R13)))</f>
        <v/>
      </c>
      <c r="AN13" s="36">
        <f>IF(SUMPRODUCT(('Matriz Criterios'!$H$43:$V$43="X")*ISNUMBER('Registro Notas'!$D13:$R13))=0, "-", SUMPRODUCT(('Matriz Criterios'!$H$43:$V$43="X")*ISNUMBER('Registro Notas'!$D13:$R13)*'Registro Notas'!$D13:$R13)/SUMPRODUCT(('Matriz Criterios'!$H$43:$V$43="X")*ISNUMBER('Registro Notas'!$D13:$R13)))</f>
        <v/>
      </c>
      <c r="AO13" s="36">
        <f>IF(SUMPRODUCT(('Matriz Criterios'!$H$44:$V$44="X")*ISNUMBER('Registro Notas'!$D13:$R13))=0, "-", SUMPRODUCT(('Matriz Criterios'!$H$44:$V$44="X")*ISNUMBER('Registro Notas'!$D13:$R13)*'Registro Notas'!$D13:$R13)/SUMPRODUCT(('Matriz Criterios'!$H$44:$V$44="X")*ISNUMBER('Registro Notas'!$D13:$R13)))</f>
        <v/>
      </c>
      <c r="AP13" s="36">
        <f>IF(SUMPRODUCT(('Matriz Criterios'!$H$45:$V$45="X")*ISNUMBER('Registro Notas'!$D13:$R13))=0, "-", SUMPRODUCT(('Matriz Criterios'!$H$45:$V$45="X")*ISNUMBER('Registro Notas'!$D13:$R13)*'Registro Notas'!$D13:$R13)/SUMPRODUCT(('Matriz Criterios'!$H$45:$V$45="X")*ISNUMBER('Registro Notas'!$D13:$R13)))</f>
        <v/>
      </c>
      <c r="AQ13" s="45">
        <f>AVERAGE(C13:AP13)</f>
        <v/>
      </c>
      <c r="AR13" s="46">
        <f>COUNTIF(C13:AP13, "&gt;=5")</f>
        <v/>
      </c>
    </row>
    <row r="14" ht="20" customHeight="1">
      <c r="A14" s="13" t="n">
        <v>9</v>
      </c>
      <c r="B14" s="31" t="inlineStr">
        <is>
          <t>López Molina, Sara</t>
        </is>
      </c>
      <c r="C14" s="32">
        <f>IF(SUMPRODUCT(('Matriz Criterios'!$H$6:$V$6="X")*ISNUMBER('Registro Notas'!$D14:$R14))=0, "-", SUMPRODUCT(('Matriz Criterios'!$H$6:$V$6="X")*ISNUMBER('Registro Notas'!$D14:$R14)*'Registro Notas'!$D14:$R14)/SUMPRODUCT(('Matriz Criterios'!$H$6:$V$6="X")*ISNUMBER('Registro Notas'!$D14:$R14)))</f>
        <v/>
      </c>
      <c r="D14" s="32">
        <f>IF(SUMPRODUCT(('Matriz Criterios'!$H$7:$V$7="X")*ISNUMBER('Registro Notas'!$D14:$R14))=0, "-", SUMPRODUCT(('Matriz Criterios'!$H$7:$V$7="X")*ISNUMBER('Registro Notas'!$D14:$R14)*'Registro Notas'!$D14:$R14)/SUMPRODUCT(('Matriz Criterios'!$H$7:$V$7="X")*ISNUMBER('Registro Notas'!$D14:$R14)))</f>
        <v/>
      </c>
      <c r="E14" s="32">
        <f>IF(SUMPRODUCT(('Matriz Criterios'!$H$8:$V$8="X")*ISNUMBER('Registro Notas'!$D14:$R14))=0, "-", SUMPRODUCT(('Matriz Criterios'!$H$8:$V$8="X")*ISNUMBER('Registro Notas'!$D14:$R14)*'Registro Notas'!$D14:$R14)/SUMPRODUCT(('Matriz Criterios'!$H$8:$V$8="X")*ISNUMBER('Registro Notas'!$D14:$R14)))</f>
        <v/>
      </c>
      <c r="F14" s="32">
        <f>IF(SUMPRODUCT(('Matriz Criterios'!$H$9:$V$9="X")*ISNUMBER('Registro Notas'!$D14:$R14))=0, "-", SUMPRODUCT(('Matriz Criterios'!$H$9:$V$9="X")*ISNUMBER('Registro Notas'!$D14:$R14)*'Registro Notas'!$D14:$R14)/SUMPRODUCT(('Matriz Criterios'!$H$9:$V$9="X")*ISNUMBER('Registro Notas'!$D14:$R14)))</f>
        <v/>
      </c>
      <c r="G14" s="32">
        <f>IF(SUMPRODUCT(('Matriz Criterios'!$H$10:$V$10="X")*ISNUMBER('Registro Notas'!$D14:$R14))=0, "-", SUMPRODUCT(('Matriz Criterios'!$H$10:$V$10="X")*ISNUMBER('Registro Notas'!$D14:$R14)*'Registro Notas'!$D14:$R14)/SUMPRODUCT(('Matriz Criterios'!$H$10:$V$10="X")*ISNUMBER('Registro Notas'!$D14:$R14)))</f>
        <v/>
      </c>
      <c r="H14" s="32">
        <f>IF(SUMPRODUCT(('Matriz Criterios'!$H$11:$V$11="X")*ISNUMBER('Registro Notas'!$D14:$R14))=0, "-", SUMPRODUCT(('Matriz Criterios'!$H$11:$V$11="X")*ISNUMBER('Registro Notas'!$D14:$R14)*'Registro Notas'!$D14:$R14)/SUMPRODUCT(('Matriz Criterios'!$H$11:$V$11="X")*ISNUMBER('Registro Notas'!$D14:$R14)))</f>
        <v/>
      </c>
      <c r="I14" s="32">
        <f>IF(SUMPRODUCT(('Matriz Criterios'!$H$12:$V$12="X")*ISNUMBER('Registro Notas'!$D14:$R14))=0, "-", SUMPRODUCT(('Matriz Criterios'!$H$12:$V$12="X")*ISNUMBER('Registro Notas'!$D14:$R14)*'Registro Notas'!$D14:$R14)/SUMPRODUCT(('Matriz Criterios'!$H$12:$V$12="X")*ISNUMBER('Registro Notas'!$D14:$R14)))</f>
        <v/>
      </c>
      <c r="J14" s="32">
        <f>IF(SUMPRODUCT(('Matriz Criterios'!$H$13:$V$13="X")*ISNUMBER('Registro Notas'!$D14:$R14))=0, "-", SUMPRODUCT(('Matriz Criterios'!$H$13:$V$13="X")*ISNUMBER('Registro Notas'!$D14:$R14)*'Registro Notas'!$D14:$R14)/SUMPRODUCT(('Matriz Criterios'!$H$13:$V$13="X")*ISNUMBER('Registro Notas'!$D14:$R14)))</f>
        <v/>
      </c>
      <c r="K14" s="32">
        <f>IF(SUMPRODUCT(('Matriz Criterios'!$H$14:$V$14="X")*ISNUMBER('Registro Notas'!$D14:$R14))=0, "-", SUMPRODUCT(('Matriz Criterios'!$H$14:$V$14="X")*ISNUMBER('Registro Notas'!$D14:$R14)*'Registro Notas'!$D14:$R14)/SUMPRODUCT(('Matriz Criterios'!$H$14:$V$14="X")*ISNUMBER('Registro Notas'!$D14:$R14)))</f>
        <v/>
      </c>
      <c r="L14" s="32">
        <f>IF(SUMPRODUCT(('Matriz Criterios'!$H$15:$V$15="X")*ISNUMBER('Registro Notas'!$D14:$R14))=0, "-", SUMPRODUCT(('Matriz Criterios'!$H$15:$V$15="X")*ISNUMBER('Registro Notas'!$D14:$R14)*'Registro Notas'!$D14:$R14)/SUMPRODUCT(('Matriz Criterios'!$H$15:$V$15="X")*ISNUMBER('Registro Notas'!$D14:$R14)))</f>
        <v/>
      </c>
      <c r="M14" s="32">
        <f>IF(SUMPRODUCT(('Matriz Criterios'!$H$16:$V$16="X")*ISNUMBER('Registro Notas'!$D14:$R14))=0, "-", SUMPRODUCT(('Matriz Criterios'!$H$16:$V$16="X")*ISNUMBER('Registro Notas'!$D14:$R14)*'Registro Notas'!$D14:$R14)/SUMPRODUCT(('Matriz Criterios'!$H$16:$V$16="X")*ISNUMBER('Registro Notas'!$D14:$R14)))</f>
        <v/>
      </c>
      <c r="N14" s="32">
        <f>IF(SUMPRODUCT(('Matriz Criterios'!$H$17:$V$17="X")*ISNUMBER('Registro Notas'!$D14:$R14))=0, "-", SUMPRODUCT(('Matriz Criterios'!$H$17:$V$17="X")*ISNUMBER('Registro Notas'!$D14:$R14)*'Registro Notas'!$D14:$R14)/SUMPRODUCT(('Matriz Criterios'!$H$17:$V$17="X")*ISNUMBER('Registro Notas'!$D14:$R14)))</f>
        <v/>
      </c>
      <c r="O14" s="32">
        <f>IF(SUMPRODUCT(('Matriz Criterios'!$H$18:$V$18="X")*ISNUMBER('Registro Notas'!$D14:$R14))=0, "-", SUMPRODUCT(('Matriz Criterios'!$H$18:$V$18="X")*ISNUMBER('Registro Notas'!$D14:$R14)*'Registro Notas'!$D14:$R14)/SUMPRODUCT(('Matriz Criterios'!$H$18:$V$18="X")*ISNUMBER('Registro Notas'!$D14:$R14)))</f>
        <v/>
      </c>
      <c r="P14" s="32">
        <f>IF(SUMPRODUCT(('Matriz Criterios'!$H$19:$V$19="X")*ISNUMBER('Registro Notas'!$D14:$R14))=0, "-", SUMPRODUCT(('Matriz Criterios'!$H$19:$V$19="X")*ISNUMBER('Registro Notas'!$D14:$R14)*'Registro Notas'!$D14:$R14)/SUMPRODUCT(('Matriz Criterios'!$H$19:$V$19="X")*ISNUMBER('Registro Notas'!$D14:$R14)))</f>
        <v/>
      </c>
      <c r="Q14" s="32">
        <f>IF(SUMPRODUCT(('Matriz Criterios'!$H$20:$V$20="X")*ISNUMBER('Registro Notas'!$D14:$R14))=0, "-", SUMPRODUCT(('Matriz Criterios'!$H$20:$V$20="X")*ISNUMBER('Registro Notas'!$D14:$R14)*'Registro Notas'!$D14:$R14)/SUMPRODUCT(('Matriz Criterios'!$H$20:$V$20="X")*ISNUMBER('Registro Notas'!$D14:$R14)))</f>
        <v/>
      </c>
      <c r="R14" s="32">
        <f>IF(SUMPRODUCT(('Matriz Criterios'!$H$21:$V$21="X")*ISNUMBER('Registro Notas'!$D14:$R14))=0, "-", SUMPRODUCT(('Matriz Criterios'!$H$21:$V$21="X")*ISNUMBER('Registro Notas'!$D14:$R14)*'Registro Notas'!$D14:$R14)/SUMPRODUCT(('Matriz Criterios'!$H$21:$V$21="X")*ISNUMBER('Registro Notas'!$D14:$R14)))</f>
        <v/>
      </c>
      <c r="S14" s="32">
        <f>IF(SUMPRODUCT(('Matriz Criterios'!$H$22:$V$22="X")*ISNUMBER('Registro Notas'!$D14:$R14))=0, "-", SUMPRODUCT(('Matriz Criterios'!$H$22:$V$22="X")*ISNUMBER('Registro Notas'!$D14:$R14)*'Registro Notas'!$D14:$R14)/SUMPRODUCT(('Matriz Criterios'!$H$22:$V$22="X")*ISNUMBER('Registro Notas'!$D14:$R14)))</f>
        <v/>
      </c>
      <c r="T14" s="32">
        <f>IF(SUMPRODUCT(('Matriz Criterios'!$H$23:$V$23="X")*ISNUMBER('Registro Notas'!$D14:$R14))=0, "-", SUMPRODUCT(('Matriz Criterios'!$H$23:$V$23="X")*ISNUMBER('Registro Notas'!$D14:$R14)*'Registro Notas'!$D14:$R14)/SUMPRODUCT(('Matriz Criterios'!$H$23:$V$23="X")*ISNUMBER('Registro Notas'!$D14:$R14)))</f>
        <v/>
      </c>
      <c r="U14" s="32">
        <f>IF(SUMPRODUCT(('Matriz Criterios'!$H$24:$V$24="X")*ISNUMBER('Registro Notas'!$D14:$R14))=0, "-", SUMPRODUCT(('Matriz Criterios'!$H$24:$V$24="X")*ISNUMBER('Registro Notas'!$D14:$R14)*'Registro Notas'!$D14:$R14)/SUMPRODUCT(('Matriz Criterios'!$H$24:$V$24="X")*ISNUMBER('Registro Notas'!$D14:$R14)))</f>
        <v/>
      </c>
      <c r="V14" s="32">
        <f>IF(SUMPRODUCT(('Matriz Criterios'!$H$25:$V$25="X")*ISNUMBER('Registro Notas'!$D14:$R14))=0, "-", SUMPRODUCT(('Matriz Criterios'!$H$25:$V$25="X")*ISNUMBER('Registro Notas'!$D14:$R14)*'Registro Notas'!$D14:$R14)/SUMPRODUCT(('Matriz Criterios'!$H$25:$V$25="X")*ISNUMBER('Registro Notas'!$D14:$R14)))</f>
        <v/>
      </c>
      <c r="W14" s="32">
        <f>IF(SUMPRODUCT(('Matriz Criterios'!$H$26:$V$26="X")*ISNUMBER('Registro Notas'!$D14:$R14))=0, "-", SUMPRODUCT(('Matriz Criterios'!$H$26:$V$26="X")*ISNUMBER('Registro Notas'!$D14:$R14)*'Registro Notas'!$D14:$R14)/SUMPRODUCT(('Matriz Criterios'!$H$26:$V$26="X")*ISNUMBER('Registro Notas'!$D14:$R14)))</f>
        <v/>
      </c>
      <c r="X14" s="32">
        <f>IF(SUMPRODUCT(('Matriz Criterios'!$H$27:$V$27="X")*ISNUMBER('Registro Notas'!$D14:$R14))=0, "-", SUMPRODUCT(('Matriz Criterios'!$H$27:$V$27="X")*ISNUMBER('Registro Notas'!$D14:$R14)*'Registro Notas'!$D14:$R14)/SUMPRODUCT(('Matriz Criterios'!$H$27:$V$27="X")*ISNUMBER('Registro Notas'!$D14:$R14)))</f>
        <v/>
      </c>
      <c r="Y14" s="32">
        <f>IF(SUMPRODUCT(('Matriz Criterios'!$H$28:$V$28="X")*ISNUMBER('Registro Notas'!$D14:$R14))=0, "-", SUMPRODUCT(('Matriz Criterios'!$H$28:$V$28="X")*ISNUMBER('Registro Notas'!$D14:$R14)*'Registro Notas'!$D14:$R14)/SUMPRODUCT(('Matriz Criterios'!$H$28:$V$28="X")*ISNUMBER('Registro Notas'!$D14:$R14)))</f>
        <v/>
      </c>
      <c r="Z14" s="32">
        <f>IF(SUMPRODUCT(('Matriz Criterios'!$H$29:$V$29="X")*ISNUMBER('Registro Notas'!$D14:$R14))=0, "-", SUMPRODUCT(('Matriz Criterios'!$H$29:$V$29="X")*ISNUMBER('Registro Notas'!$D14:$R14)*'Registro Notas'!$D14:$R14)/SUMPRODUCT(('Matriz Criterios'!$H$29:$V$29="X")*ISNUMBER('Registro Notas'!$D14:$R14)))</f>
        <v/>
      </c>
      <c r="AA14" s="32">
        <f>IF(SUMPRODUCT(('Matriz Criterios'!$H$30:$V$30="X")*ISNUMBER('Registro Notas'!$D14:$R14))=0, "-", SUMPRODUCT(('Matriz Criterios'!$H$30:$V$30="X")*ISNUMBER('Registro Notas'!$D14:$R14)*'Registro Notas'!$D14:$R14)/SUMPRODUCT(('Matriz Criterios'!$H$30:$V$30="X")*ISNUMBER('Registro Notas'!$D14:$R14)))</f>
        <v/>
      </c>
      <c r="AB14" s="32">
        <f>IF(SUMPRODUCT(('Matriz Criterios'!$H$31:$V$31="X")*ISNUMBER('Registro Notas'!$D14:$R14))=0, "-", SUMPRODUCT(('Matriz Criterios'!$H$31:$V$31="X")*ISNUMBER('Registro Notas'!$D14:$R14)*'Registro Notas'!$D14:$R14)/SUMPRODUCT(('Matriz Criterios'!$H$31:$V$31="X")*ISNUMBER('Registro Notas'!$D14:$R14)))</f>
        <v/>
      </c>
      <c r="AC14" s="32">
        <f>IF(SUMPRODUCT(('Matriz Criterios'!$H$32:$V$32="X")*ISNUMBER('Registro Notas'!$D14:$R14))=0, "-", SUMPRODUCT(('Matriz Criterios'!$H$32:$V$32="X")*ISNUMBER('Registro Notas'!$D14:$R14)*'Registro Notas'!$D14:$R14)/SUMPRODUCT(('Matriz Criterios'!$H$32:$V$32="X")*ISNUMBER('Registro Notas'!$D14:$R14)))</f>
        <v/>
      </c>
      <c r="AD14" s="32">
        <f>IF(SUMPRODUCT(('Matriz Criterios'!$H$33:$V$33="X")*ISNUMBER('Registro Notas'!$D14:$R14))=0, "-", SUMPRODUCT(('Matriz Criterios'!$H$33:$V$33="X")*ISNUMBER('Registro Notas'!$D14:$R14)*'Registro Notas'!$D14:$R14)/SUMPRODUCT(('Matriz Criterios'!$H$33:$V$33="X")*ISNUMBER('Registro Notas'!$D14:$R14)))</f>
        <v/>
      </c>
      <c r="AE14" s="32">
        <f>IF(SUMPRODUCT(('Matriz Criterios'!$H$34:$V$34="X")*ISNUMBER('Registro Notas'!$D14:$R14))=0, "-", SUMPRODUCT(('Matriz Criterios'!$H$34:$V$34="X")*ISNUMBER('Registro Notas'!$D14:$R14)*'Registro Notas'!$D14:$R14)/SUMPRODUCT(('Matriz Criterios'!$H$34:$V$34="X")*ISNUMBER('Registro Notas'!$D14:$R14)))</f>
        <v/>
      </c>
      <c r="AF14" s="32">
        <f>IF(SUMPRODUCT(('Matriz Criterios'!$H$35:$V$35="X")*ISNUMBER('Registro Notas'!$D14:$R14))=0, "-", SUMPRODUCT(('Matriz Criterios'!$H$35:$V$35="X")*ISNUMBER('Registro Notas'!$D14:$R14)*'Registro Notas'!$D14:$R14)/SUMPRODUCT(('Matriz Criterios'!$H$35:$V$35="X")*ISNUMBER('Registro Notas'!$D14:$R14)))</f>
        <v/>
      </c>
      <c r="AG14" s="32">
        <f>IF(SUMPRODUCT(('Matriz Criterios'!$H$36:$V$36="X")*ISNUMBER('Registro Notas'!$D14:$R14))=0, "-", SUMPRODUCT(('Matriz Criterios'!$H$36:$V$36="X")*ISNUMBER('Registro Notas'!$D14:$R14)*'Registro Notas'!$D14:$R14)/SUMPRODUCT(('Matriz Criterios'!$H$36:$V$36="X")*ISNUMBER('Registro Notas'!$D14:$R14)))</f>
        <v/>
      </c>
      <c r="AH14" s="32">
        <f>IF(SUMPRODUCT(('Matriz Criterios'!$H$37:$V$37="X")*ISNUMBER('Registro Notas'!$D14:$R14))=0, "-", SUMPRODUCT(('Matriz Criterios'!$H$37:$V$37="X")*ISNUMBER('Registro Notas'!$D14:$R14)*'Registro Notas'!$D14:$R14)/SUMPRODUCT(('Matriz Criterios'!$H$37:$V$37="X")*ISNUMBER('Registro Notas'!$D14:$R14)))</f>
        <v/>
      </c>
      <c r="AI14" s="32">
        <f>IF(SUMPRODUCT(('Matriz Criterios'!$H$38:$V$38="X")*ISNUMBER('Registro Notas'!$D14:$R14))=0, "-", SUMPRODUCT(('Matriz Criterios'!$H$38:$V$38="X")*ISNUMBER('Registro Notas'!$D14:$R14)*'Registro Notas'!$D14:$R14)/SUMPRODUCT(('Matriz Criterios'!$H$38:$V$38="X")*ISNUMBER('Registro Notas'!$D14:$R14)))</f>
        <v/>
      </c>
      <c r="AJ14" s="32">
        <f>IF(SUMPRODUCT(('Matriz Criterios'!$H$39:$V$39="X")*ISNUMBER('Registro Notas'!$D14:$R14))=0, "-", SUMPRODUCT(('Matriz Criterios'!$H$39:$V$39="X")*ISNUMBER('Registro Notas'!$D14:$R14)*'Registro Notas'!$D14:$R14)/SUMPRODUCT(('Matriz Criterios'!$H$39:$V$39="X")*ISNUMBER('Registro Notas'!$D14:$R14)))</f>
        <v/>
      </c>
      <c r="AK14" s="32">
        <f>IF(SUMPRODUCT(('Matriz Criterios'!$H$40:$V$40="X")*ISNUMBER('Registro Notas'!$D14:$R14))=0, "-", SUMPRODUCT(('Matriz Criterios'!$H$40:$V$40="X")*ISNUMBER('Registro Notas'!$D14:$R14)*'Registro Notas'!$D14:$R14)/SUMPRODUCT(('Matriz Criterios'!$H$40:$V$40="X")*ISNUMBER('Registro Notas'!$D14:$R14)))</f>
        <v/>
      </c>
      <c r="AL14" s="32">
        <f>IF(SUMPRODUCT(('Matriz Criterios'!$H$41:$V$41="X")*ISNUMBER('Registro Notas'!$D14:$R14))=0, "-", SUMPRODUCT(('Matriz Criterios'!$H$41:$V$41="X")*ISNUMBER('Registro Notas'!$D14:$R14)*'Registro Notas'!$D14:$R14)/SUMPRODUCT(('Matriz Criterios'!$H$41:$V$41="X")*ISNUMBER('Registro Notas'!$D14:$R14)))</f>
        <v/>
      </c>
      <c r="AM14" s="32">
        <f>IF(SUMPRODUCT(('Matriz Criterios'!$H$42:$V$42="X")*ISNUMBER('Registro Notas'!$D14:$R14))=0, "-", SUMPRODUCT(('Matriz Criterios'!$H$42:$V$42="X")*ISNUMBER('Registro Notas'!$D14:$R14)*'Registro Notas'!$D14:$R14)/SUMPRODUCT(('Matriz Criterios'!$H$42:$V$42="X")*ISNUMBER('Registro Notas'!$D14:$R14)))</f>
        <v/>
      </c>
      <c r="AN14" s="32">
        <f>IF(SUMPRODUCT(('Matriz Criterios'!$H$43:$V$43="X")*ISNUMBER('Registro Notas'!$D14:$R14))=0, "-", SUMPRODUCT(('Matriz Criterios'!$H$43:$V$43="X")*ISNUMBER('Registro Notas'!$D14:$R14)*'Registro Notas'!$D14:$R14)/SUMPRODUCT(('Matriz Criterios'!$H$43:$V$43="X")*ISNUMBER('Registro Notas'!$D14:$R14)))</f>
        <v/>
      </c>
      <c r="AO14" s="32">
        <f>IF(SUMPRODUCT(('Matriz Criterios'!$H$44:$V$44="X")*ISNUMBER('Registro Notas'!$D14:$R14))=0, "-", SUMPRODUCT(('Matriz Criterios'!$H$44:$V$44="X")*ISNUMBER('Registro Notas'!$D14:$R14)*'Registro Notas'!$D14:$R14)/SUMPRODUCT(('Matriz Criterios'!$H$44:$V$44="X")*ISNUMBER('Registro Notas'!$D14:$R14)))</f>
        <v/>
      </c>
      <c r="AP14" s="32">
        <f>IF(SUMPRODUCT(('Matriz Criterios'!$H$45:$V$45="X")*ISNUMBER('Registro Notas'!$D14:$R14))=0, "-", SUMPRODUCT(('Matriz Criterios'!$H$45:$V$45="X")*ISNUMBER('Registro Notas'!$D14:$R14)*'Registro Notas'!$D14:$R14)/SUMPRODUCT(('Matriz Criterios'!$H$45:$V$45="X")*ISNUMBER('Registro Notas'!$D14:$R14)))</f>
        <v/>
      </c>
      <c r="AQ14" s="45">
        <f>AVERAGE(C14:AP14)</f>
        <v/>
      </c>
      <c r="AR14" s="46">
        <f>COUNTIF(C14:AP14, "&gt;=5")</f>
        <v/>
      </c>
    </row>
    <row r="15" ht="20" customHeight="1">
      <c r="A15" s="21" t="n">
        <v>10</v>
      </c>
      <c r="B15" s="35" t="inlineStr">
        <is>
          <t>Martín Vega, Javier</t>
        </is>
      </c>
      <c r="C15" s="36">
        <f>IF(SUMPRODUCT(('Matriz Criterios'!$H$6:$V$6="X")*ISNUMBER('Registro Notas'!$D15:$R15))=0, "-", SUMPRODUCT(('Matriz Criterios'!$H$6:$V$6="X")*ISNUMBER('Registro Notas'!$D15:$R15)*'Registro Notas'!$D15:$R15)/SUMPRODUCT(('Matriz Criterios'!$H$6:$V$6="X")*ISNUMBER('Registro Notas'!$D15:$R15)))</f>
        <v/>
      </c>
      <c r="D15" s="36">
        <f>IF(SUMPRODUCT(('Matriz Criterios'!$H$7:$V$7="X")*ISNUMBER('Registro Notas'!$D15:$R15))=0, "-", SUMPRODUCT(('Matriz Criterios'!$H$7:$V$7="X")*ISNUMBER('Registro Notas'!$D15:$R15)*'Registro Notas'!$D15:$R15)/SUMPRODUCT(('Matriz Criterios'!$H$7:$V$7="X")*ISNUMBER('Registro Notas'!$D15:$R15)))</f>
        <v/>
      </c>
      <c r="E15" s="36">
        <f>IF(SUMPRODUCT(('Matriz Criterios'!$H$8:$V$8="X")*ISNUMBER('Registro Notas'!$D15:$R15))=0, "-", SUMPRODUCT(('Matriz Criterios'!$H$8:$V$8="X")*ISNUMBER('Registro Notas'!$D15:$R15)*'Registro Notas'!$D15:$R15)/SUMPRODUCT(('Matriz Criterios'!$H$8:$V$8="X")*ISNUMBER('Registro Notas'!$D15:$R15)))</f>
        <v/>
      </c>
      <c r="F15" s="36">
        <f>IF(SUMPRODUCT(('Matriz Criterios'!$H$9:$V$9="X")*ISNUMBER('Registro Notas'!$D15:$R15))=0, "-", SUMPRODUCT(('Matriz Criterios'!$H$9:$V$9="X")*ISNUMBER('Registro Notas'!$D15:$R15)*'Registro Notas'!$D15:$R15)/SUMPRODUCT(('Matriz Criterios'!$H$9:$V$9="X")*ISNUMBER('Registro Notas'!$D15:$R15)))</f>
        <v/>
      </c>
      <c r="G15" s="36">
        <f>IF(SUMPRODUCT(('Matriz Criterios'!$H$10:$V$10="X")*ISNUMBER('Registro Notas'!$D15:$R15))=0, "-", SUMPRODUCT(('Matriz Criterios'!$H$10:$V$10="X")*ISNUMBER('Registro Notas'!$D15:$R15)*'Registro Notas'!$D15:$R15)/SUMPRODUCT(('Matriz Criterios'!$H$10:$V$10="X")*ISNUMBER('Registro Notas'!$D15:$R15)))</f>
        <v/>
      </c>
      <c r="H15" s="36">
        <f>IF(SUMPRODUCT(('Matriz Criterios'!$H$11:$V$11="X")*ISNUMBER('Registro Notas'!$D15:$R15))=0, "-", SUMPRODUCT(('Matriz Criterios'!$H$11:$V$11="X")*ISNUMBER('Registro Notas'!$D15:$R15)*'Registro Notas'!$D15:$R15)/SUMPRODUCT(('Matriz Criterios'!$H$11:$V$11="X")*ISNUMBER('Registro Notas'!$D15:$R15)))</f>
        <v/>
      </c>
      <c r="I15" s="36">
        <f>IF(SUMPRODUCT(('Matriz Criterios'!$H$12:$V$12="X")*ISNUMBER('Registro Notas'!$D15:$R15))=0, "-", SUMPRODUCT(('Matriz Criterios'!$H$12:$V$12="X")*ISNUMBER('Registro Notas'!$D15:$R15)*'Registro Notas'!$D15:$R15)/SUMPRODUCT(('Matriz Criterios'!$H$12:$V$12="X")*ISNUMBER('Registro Notas'!$D15:$R15)))</f>
        <v/>
      </c>
      <c r="J15" s="36">
        <f>IF(SUMPRODUCT(('Matriz Criterios'!$H$13:$V$13="X")*ISNUMBER('Registro Notas'!$D15:$R15))=0, "-", SUMPRODUCT(('Matriz Criterios'!$H$13:$V$13="X")*ISNUMBER('Registro Notas'!$D15:$R15)*'Registro Notas'!$D15:$R15)/SUMPRODUCT(('Matriz Criterios'!$H$13:$V$13="X")*ISNUMBER('Registro Notas'!$D15:$R15)))</f>
        <v/>
      </c>
      <c r="K15" s="36">
        <f>IF(SUMPRODUCT(('Matriz Criterios'!$H$14:$V$14="X")*ISNUMBER('Registro Notas'!$D15:$R15))=0, "-", SUMPRODUCT(('Matriz Criterios'!$H$14:$V$14="X")*ISNUMBER('Registro Notas'!$D15:$R15)*'Registro Notas'!$D15:$R15)/SUMPRODUCT(('Matriz Criterios'!$H$14:$V$14="X")*ISNUMBER('Registro Notas'!$D15:$R15)))</f>
        <v/>
      </c>
      <c r="L15" s="36">
        <f>IF(SUMPRODUCT(('Matriz Criterios'!$H$15:$V$15="X")*ISNUMBER('Registro Notas'!$D15:$R15))=0, "-", SUMPRODUCT(('Matriz Criterios'!$H$15:$V$15="X")*ISNUMBER('Registro Notas'!$D15:$R15)*'Registro Notas'!$D15:$R15)/SUMPRODUCT(('Matriz Criterios'!$H$15:$V$15="X")*ISNUMBER('Registro Notas'!$D15:$R15)))</f>
        <v/>
      </c>
      <c r="M15" s="36">
        <f>IF(SUMPRODUCT(('Matriz Criterios'!$H$16:$V$16="X")*ISNUMBER('Registro Notas'!$D15:$R15))=0, "-", SUMPRODUCT(('Matriz Criterios'!$H$16:$V$16="X")*ISNUMBER('Registro Notas'!$D15:$R15)*'Registro Notas'!$D15:$R15)/SUMPRODUCT(('Matriz Criterios'!$H$16:$V$16="X")*ISNUMBER('Registro Notas'!$D15:$R15)))</f>
        <v/>
      </c>
      <c r="N15" s="36">
        <f>IF(SUMPRODUCT(('Matriz Criterios'!$H$17:$V$17="X")*ISNUMBER('Registro Notas'!$D15:$R15))=0, "-", SUMPRODUCT(('Matriz Criterios'!$H$17:$V$17="X")*ISNUMBER('Registro Notas'!$D15:$R15)*'Registro Notas'!$D15:$R15)/SUMPRODUCT(('Matriz Criterios'!$H$17:$V$17="X")*ISNUMBER('Registro Notas'!$D15:$R15)))</f>
        <v/>
      </c>
      <c r="O15" s="36">
        <f>IF(SUMPRODUCT(('Matriz Criterios'!$H$18:$V$18="X")*ISNUMBER('Registro Notas'!$D15:$R15))=0, "-", SUMPRODUCT(('Matriz Criterios'!$H$18:$V$18="X")*ISNUMBER('Registro Notas'!$D15:$R15)*'Registro Notas'!$D15:$R15)/SUMPRODUCT(('Matriz Criterios'!$H$18:$V$18="X")*ISNUMBER('Registro Notas'!$D15:$R15)))</f>
        <v/>
      </c>
      <c r="P15" s="36">
        <f>IF(SUMPRODUCT(('Matriz Criterios'!$H$19:$V$19="X")*ISNUMBER('Registro Notas'!$D15:$R15))=0, "-", SUMPRODUCT(('Matriz Criterios'!$H$19:$V$19="X")*ISNUMBER('Registro Notas'!$D15:$R15)*'Registro Notas'!$D15:$R15)/SUMPRODUCT(('Matriz Criterios'!$H$19:$V$19="X")*ISNUMBER('Registro Notas'!$D15:$R15)))</f>
        <v/>
      </c>
      <c r="Q15" s="36">
        <f>IF(SUMPRODUCT(('Matriz Criterios'!$H$20:$V$20="X")*ISNUMBER('Registro Notas'!$D15:$R15))=0, "-", SUMPRODUCT(('Matriz Criterios'!$H$20:$V$20="X")*ISNUMBER('Registro Notas'!$D15:$R15)*'Registro Notas'!$D15:$R15)/SUMPRODUCT(('Matriz Criterios'!$H$20:$V$20="X")*ISNUMBER('Registro Notas'!$D15:$R15)))</f>
        <v/>
      </c>
      <c r="R15" s="36">
        <f>IF(SUMPRODUCT(('Matriz Criterios'!$H$21:$V$21="X")*ISNUMBER('Registro Notas'!$D15:$R15))=0, "-", SUMPRODUCT(('Matriz Criterios'!$H$21:$V$21="X")*ISNUMBER('Registro Notas'!$D15:$R15)*'Registro Notas'!$D15:$R15)/SUMPRODUCT(('Matriz Criterios'!$H$21:$V$21="X")*ISNUMBER('Registro Notas'!$D15:$R15)))</f>
        <v/>
      </c>
      <c r="S15" s="36">
        <f>IF(SUMPRODUCT(('Matriz Criterios'!$H$22:$V$22="X")*ISNUMBER('Registro Notas'!$D15:$R15))=0, "-", SUMPRODUCT(('Matriz Criterios'!$H$22:$V$22="X")*ISNUMBER('Registro Notas'!$D15:$R15)*'Registro Notas'!$D15:$R15)/SUMPRODUCT(('Matriz Criterios'!$H$22:$V$22="X")*ISNUMBER('Registro Notas'!$D15:$R15)))</f>
        <v/>
      </c>
      <c r="T15" s="36">
        <f>IF(SUMPRODUCT(('Matriz Criterios'!$H$23:$V$23="X")*ISNUMBER('Registro Notas'!$D15:$R15))=0, "-", SUMPRODUCT(('Matriz Criterios'!$H$23:$V$23="X")*ISNUMBER('Registro Notas'!$D15:$R15)*'Registro Notas'!$D15:$R15)/SUMPRODUCT(('Matriz Criterios'!$H$23:$V$23="X")*ISNUMBER('Registro Notas'!$D15:$R15)))</f>
        <v/>
      </c>
      <c r="U15" s="36">
        <f>IF(SUMPRODUCT(('Matriz Criterios'!$H$24:$V$24="X")*ISNUMBER('Registro Notas'!$D15:$R15))=0, "-", SUMPRODUCT(('Matriz Criterios'!$H$24:$V$24="X")*ISNUMBER('Registro Notas'!$D15:$R15)*'Registro Notas'!$D15:$R15)/SUMPRODUCT(('Matriz Criterios'!$H$24:$V$24="X")*ISNUMBER('Registro Notas'!$D15:$R15)))</f>
        <v/>
      </c>
      <c r="V15" s="36">
        <f>IF(SUMPRODUCT(('Matriz Criterios'!$H$25:$V$25="X")*ISNUMBER('Registro Notas'!$D15:$R15))=0, "-", SUMPRODUCT(('Matriz Criterios'!$H$25:$V$25="X")*ISNUMBER('Registro Notas'!$D15:$R15)*'Registro Notas'!$D15:$R15)/SUMPRODUCT(('Matriz Criterios'!$H$25:$V$25="X")*ISNUMBER('Registro Notas'!$D15:$R15)))</f>
        <v/>
      </c>
      <c r="W15" s="36">
        <f>IF(SUMPRODUCT(('Matriz Criterios'!$H$26:$V$26="X")*ISNUMBER('Registro Notas'!$D15:$R15))=0, "-", SUMPRODUCT(('Matriz Criterios'!$H$26:$V$26="X")*ISNUMBER('Registro Notas'!$D15:$R15)*'Registro Notas'!$D15:$R15)/SUMPRODUCT(('Matriz Criterios'!$H$26:$V$26="X")*ISNUMBER('Registro Notas'!$D15:$R15)))</f>
        <v/>
      </c>
      <c r="X15" s="36">
        <f>IF(SUMPRODUCT(('Matriz Criterios'!$H$27:$V$27="X")*ISNUMBER('Registro Notas'!$D15:$R15))=0, "-", SUMPRODUCT(('Matriz Criterios'!$H$27:$V$27="X")*ISNUMBER('Registro Notas'!$D15:$R15)*'Registro Notas'!$D15:$R15)/SUMPRODUCT(('Matriz Criterios'!$H$27:$V$27="X")*ISNUMBER('Registro Notas'!$D15:$R15)))</f>
        <v/>
      </c>
      <c r="Y15" s="36">
        <f>IF(SUMPRODUCT(('Matriz Criterios'!$H$28:$V$28="X")*ISNUMBER('Registro Notas'!$D15:$R15))=0, "-", SUMPRODUCT(('Matriz Criterios'!$H$28:$V$28="X")*ISNUMBER('Registro Notas'!$D15:$R15)*'Registro Notas'!$D15:$R15)/SUMPRODUCT(('Matriz Criterios'!$H$28:$V$28="X")*ISNUMBER('Registro Notas'!$D15:$R15)))</f>
        <v/>
      </c>
      <c r="Z15" s="36">
        <f>IF(SUMPRODUCT(('Matriz Criterios'!$H$29:$V$29="X")*ISNUMBER('Registro Notas'!$D15:$R15))=0, "-", SUMPRODUCT(('Matriz Criterios'!$H$29:$V$29="X")*ISNUMBER('Registro Notas'!$D15:$R15)*'Registro Notas'!$D15:$R15)/SUMPRODUCT(('Matriz Criterios'!$H$29:$V$29="X")*ISNUMBER('Registro Notas'!$D15:$R15)))</f>
        <v/>
      </c>
      <c r="AA15" s="36">
        <f>IF(SUMPRODUCT(('Matriz Criterios'!$H$30:$V$30="X")*ISNUMBER('Registro Notas'!$D15:$R15))=0, "-", SUMPRODUCT(('Matriz Criterios'!$H$30:$V$30="X")*ISNUMBER('Registro Notas'!$D15:$R15)*'Registro Notas'!$D15:$R15)/SUMPRODUCT(('Matriz Criterios'!$H$30:$V$30="X")*ISNUMBER('Registro Notas'!$D15:$R15)))</f>
        <v/>
      </c>
      <c r="AB15" s="36">
        <f>IF(SUMPRODUCT(('Matriz Criterios'!$H$31:$V$31="X")*ISNUMBER('Registro Notas'!$D15:$R15))=0, "-", SUMPRODUCT(('Matriz Criterios'!$H$31:$V$31="X")*ISNUMBER('Registro Notas'!$D15:$R15)*'Registro Notas'!$D15:$R15)/SUMPRODUCT(('Matriz Criterios'!$H$31:$V$31="X")*ISNUMBER('Registro Notas'!$D15:$R15)))</f>
        <v/>
      </c>
      <c r="AC15" s="36">
        <f>IF(SUMPRODUCT(('Matriz Criterios'!$H$32:$V$32="X")*ISNUMBER('Registro Notas'!$D15:$R15))=0, "-", SUMPRODUCT(('Matriz Criterios'!$H$32:$V$32="X")*ISNUMBER('Registro Notas'!$D15:$R15)*'Registro Notas'!$D15:$R15)/SUMPRODUCT(('Matriz Criterios'!$H$32:$V$32="X")*ISNUMBER('Registro Notas'!$D15:$R15)))</f>
        <v/>
      </c>
      <c r="AD15" s="36">
        <f>IF(SUMPRODUCT(('Matriz Criterios'!$H$33:$V$33="X")*ISNUMBER('Registro Notas'!$D15:$R15))=0, "-", SUMPRODUCT(('Matriz Criterios'!$H$33:$V$33="X")*ISNUMBER('Registro Notas'!$D15:$R15)*'Registro Notas'!$D15:$R15)/SUMPRODUCT(('Matriz Criterios'!$H$33:$V$33="X")*ISNUMBER('Registro Notas'!$D15:$R15)))</f>
        <v/>
      </c>
      <c r="AE15" s="36">
        <f>IF(SUMPRODUCT(('Matriz Criterios'!$H$34:$V$34="X")*ISNUMBER('Registro Notas'!$D15:$R15))=0, "-", SUMPRODUCT(('Matriz Criterios'!$H$34:$V$34="X")*ISNUMBER('Registro Notas'!$D15:$R15)*'Registro Notas'!$D15:$R15)/SUMPRODUCT(('Matriz Criterios'!$H$34:$V$34="X")*ISNUMBER('Registro Notas'!$D15:$R15)))</f>
        <v/>
      </c>
      <c r="AF15" s="36">
        <f>IF(SUMPRODUCT(('Matriz Criterios'!$H$35:$V$35="X")*ISNUMBER('Registro Notas'!$D15:$R15))=0, "-", SUMPRODUCT(('Matriz Criterios'!$H$35:$V$35="X")*ISNUMBER('Registro Notas'!$D15:$R15)*'Registro Notas'!$D15:$R15)/SUMPRODUCT(('Matriz Criterios'!$H$35:$V$35="X")*ISNUMBER('Registro Notas'!$D15:$R15)))</f>
        <v/>
      </c>
      <c r="AG15" s="36">
        <f>IF(SUMPRODUCT(('Matriz Criterios'!$H$36:$V$36="X")*ISNUMBER('Registro Notas'!$D15:$R15))=0, "-", SUMPRODUCT(('Matriz Criterios'!$H$36:$V$36="X")*ISNUMBER('Registro Notas'!$D15:$R15)*'Registro Notas'!$D15:$R15)/SUMPRODUCT(('Matriz Criterios'!$H$36:$V$36="X")*ISNUMBER('Registro Notas'!$D15:$R15)))</f>
        <v/>
      </c>
      <c r="AH15" s="36">
        <f>IF(SUMPRODUCT(('Matriz Criterios'!$H$37:$V$37="X")*ISNUMBER('Registro Notas'!$D15:$R15))=0, "-", SUMPRODUCT(('Matriz Criterios'!$H$37:$V$37="X")*ISNUMBER('Registro Notas'!$D15:$R15)*'Registro Notas'!$D15:$R15)/SUMPRODUCT(('Matriz Criterios'!$H$37:$V$37="X")*ISNUMBER('Registro Notas'!$D15:$R15)))</f>
        <v/>
      </c>
      <c r="AI15" s="36">
        <f>IF(SUMPRODUCT(('Matriz Criterios'!$H$38:$V$38="X")*ISNUMBER('Registro Notas'!$D15:$R15))=0, "-", SUMPRODUCT(('Matriz Criterios'!$H$38:$V$38="X")*ISNUMBER('Registro Notas'!$D15:$R15)*'Registro Notas'!$D15:$R15)/SUMPRODUCT(('Matriz Criterios'!$H$38:$V$38="X")*ISNUMBER('Registro Notas'!$D15:$R15)))</f>
        <v/>
      </c>
      <c r="AJ15" s="36">
        <f>IF(SUMPRODUCT(('Matriz Criterios'!$H$39:$V$39="X")*ISNUMBER('Registro Notas'!$D15:$R15))=0, "-", SUMPRODUCT(('Matriz Criterios'!$H$39:$V$39="X")*ISNUMBER('Registro Notas'!$D15:$R15)*'Registro Notas'!$D15:$R15)/SUMPRODUCT(('Matriz Criterios'!$H$39:$V$39="X")*ISNUMBER('Registro Notas'!$D15:$R15)))</f>
        <v/>
      </c>
      <c r="AK15" s="36">
        <f>IF(SUMPRODUCT(('Matriz Criterios'!$H$40:$V$40="X")*ISNUMBER('Registro Notas'!$D15:$R15))=0, "-", SUMPRODUCT(('Matriz Criterios'!$H$40:$V$40="X")*ISNUMBER('Registro Notas'!$D15:$R15)*'Registro Notas'!$D15:$R15)/SUMPRODUCT(('Matriz Criterios'!$H$40:$V$40="X")*ISNUMBER('Registro Notas'!$D15:$R15)))</f>
        <v/>
      </c>
      <c r="AL15" s="36">
        <f>IF(SUMPRODUCT(('Matriz Criterios'!$H$41:$V$41="X")*ISNUMBER('Registro Notas'!$D15:$R15))=0, "-", SUMPRODUCT(('Matriz Criterios'!$H$41:$V$41="X")*ISNUMBER('Registro Notas'!$D15:$R15)*'Registro Notas'!$D15:$R15)/SUMPRODUCT(('Matriz Criterios'!$H$41:$V$41="X")*ISNUMBER('Registro Notas'!$D15:$R15)))</f>
        <v/>
      </c>
      <c r="AM15" s="36">
        <f>IF(SUMPRODUCT(('Matriz Criterios'!$H$42:$V$42="X")*ISNUMBER('Registro Notas'!$D15:$R15))=0, "-", SUMPRODUCT(('Matriz Criterios'!$H$42:$V$42="X")*ISNUMBER('Registro Notas'!$D15:$R15)*'Registro Notas'!$D15:$R15)/SUMPRODUCT(('Matriz Criterios'!$H$42:$V$42="X")*ISNUMBER('Registro Notas'!$D15:$R15)))</f>
        <v/>
      </c>
      <c r="AN15" s="36">
        <f>IF(SUMPRODUCT(('Matriz Criterios'!$H$43:$V$43="X")*ISNUMBER('Registro Notas'!$D15:$R15))=0, "-", SUMPRODUCT(('Matriz Criterios'!$H$43:$V$43="X")*ISNUMBER('Registro Notas'!$D15:$R15)*'Registro Notas'!$D15:$R15)/SUMPRODUCT(('Matriz Criterios'!$H$43:$V$43="X")*ISNUMBER('Registro Notas'!$D15:$R15)))</f>
        <v/>
      </c>
      <c r="AO15" s="36">
        <f>IF(SUMPRODUCT(('Matriz Criterios'!$H$44:$V$44="X")*ISNUMBER('Registro Notas'!$D15:$R15))=0, "-", SUMPRODUCT(('Matriz Criterios'!$H$44:$V$44="X")*ISNUMBER('Registro Notas'!$D15:$R15)*'Registro Notas'!$D15:$R15)/SUMPRODUCT(('Matriz Criterios'!$H$44:$V$44="X")*ISNUMBER('Registro Notas'!$D15:$R15)))</f>
        <v/>
      </c>
      <c r="AP15" s="36">
        <f>IF(SUMPRODUCT(('Matriz Criterios'!$H$45:$V$45="X")*ISNUMBER('Registro Notas'!$D15:$R15))=0, "-", SUMPRODUCT(('Matriz Criterios'!$H$45:$V$45="X")*ISNUMBER('Registro Notas'!$D15:$R15)*'Registro Notas'!$D15:$R15)/SUMPRODUCT(('Matriz Criterios'!$H$45:$V$45="X")*ISNUMBER('Registro Notas'!$D15:$R15)))</f>
        <v/>
      </c>
      <c r="AQ15" s="45">
        <f>AVERAGE(C15:AP15)</f>
        <v/>
      </c>
      <c r="AR15" s="46">
        <f>COUNTIF(C15:AP15, "&gt;=5")</f>
        <v/>
      </c>
    </row>
    <row r="16" ht="20" customHeight="1">
      <c r="A16" s="13" t="n">
        <v>11</v>
      </c>
      <c r="B16" s="31" t="inlineStr">
        <is>
          <t>Navarro Gil, Ana</t>
        </is>
      </c>
      <c r="C16" s="32">
        <f>IF(SUMPRODUCT(('Matriz Criterios'!$H$6:$V$6="X")*ISNUMBER('Registro Notas'!$D16:$R16))=0, "-", SUMPRODUCT(('Matriz Criterios'!$H$6:$V$6="X")*ISNUMBER('Registro Notas'!$D16:$R16)*'Registro Notas'!$D16:$R16)/SUMPRODUCT(('Matriz Criterios'!$H$6:$V$6="X")*ISNUMBER('Registro Notas'!$D16:$R16)))</f>
        <v/>
      </c>
      <c r="D16" s="32">
        <f>IF(SUMPRODUCT(('Matriz Criterios'!$H$7:$V$7="X")*ISNUMBER('Registro Notas'!$D16:$R16))=0, "-", SUMPRODUCT(('Matriz Criterios'!$H$7:$V$7="X")*ISNUMBER('Registro Notas'!$D16:$R16)*'Registro Notas'!$D16:$R16)/SUMPRODUCT(('Matriz Criterios'!$H$7:$V$7="X")*ISNUMBER('Registro Notas'!$D16:$R16)))</f>
        <v/>
      </c>
      <c r="E16" s="32">
        <f>IF(SUMPRODUCT(('Matriz Criterios'!$H$8:$V$8="X")*ISNUMBER('Registro Notas'!$D16:$R16))=0, "-", SUMPRODUCT(('Matriz Criterios'!$H$8:$V$8="X")*ISNUMBER('Registro Notas'!$D16:$R16)*'Registro Notas'!$D16:$R16)/SUMPRODUCT(('Matriz Criterios'!$H$8:$V$8="X")*ISNUMBER('Registro Notas'!$D16:$R16)))</f>
        <v/>
      </c>
      <c r="F16" s="32">
        <f>IF(SUMPRODUCT(('Matriz Criterios'!$H$9:$V$9="X")*ISNUMBER('Registro Notas'!$D16:$R16))=0, "-", SUMPRODUCT(('Matriz Criterios'!$H$9:$V$9="X")*ISNUMBER('Registro Notas'!$D16:$R16)*'Registro Notas'!$D16:$R16)/SUMPRODUCT(('Matriz Criterios'!$H$9:$V$9="X")*ISNUMBER('Registro Notas'!$D16:$R16)))</f>
        <v/>
      </c>
      <c r="G16" s="32">
        <f>IF(SUMPRODUCT(('Matriz Criterios'!$H$10:$V$10="X")*ISNUMBER('Registro Notas'!$D16:$R16))=0, "-", SUMPRODUCT(('Matriz Criterios'!$H$10:$V$10="X")*ISNUMBER('Registro Notas'!$D16:$R16)*'Registro Notas'!$D16:$R16)/SUMPRODUCT(('Matriz Criterios'!$H$10:$V$10="X")*ISNUMBER('Registro Notas'!$D16:$R16)))</f>
        <v/>
      </c>
      <c r="H16" s="32">
        <f>IF(SUMPRODUCT(('Matriz Criterios'!$H$11:$V$11="X")*ISNUMBER('Registro Notas'!$D16:$R16))=0, "-", SUMPRODUCT(('Matriz Criterios'!$H$11:$V$11="X")*ISNUMBER('Registro Notas'!$D16:$R16)*'Registro Notas'!$D16:$R16)/SUMPRODUCT(('Matriz Criterios'!$H$11:$V$11="X")*ISNUMBER('Registro Notas'!$D16:$R16)))</f>
        <v/>
      </c>
      <c r="I16" s="32">
        <f>IF(SUMPRODUCT(('Matriz Criterios'!$H$12:$V$12="X")*ISNUMBER('Registro Notas'!$D16:$R16))=0, "-", SUMPRODUCT(('Matriz Criterios'!$H$12:$V$12="X")*ISNUMBER('Registro Notas'!$D16:$R16)*'Registro Notas'!$D16:$R16)/SUMPRODUCT(('Matriz Criterios'!$H$12:$V$12="X")*ISNUMBER('Registro Notas'!$D16:$R16)))</f>
        <v/>
      </c>
      <c r="J16" s="32">
        <f>IF(SUMPRODUCT(('Matriz Criterios'!$H$13:$V$13="X")*ISNUMBER('Registro Notas'!$D16:$R16))=0, "-", SUMPRODUCT(('Matriz Criterios'!$H$13:$V$13="X")*ISNUMBER('Registro Notas'!$D16:$R16)*'Registro Notas'!$D16:$R16)/SUMPRODUCT(('Matriz Criterios'!$H$13:$V$13="X")*ISNUMBER('Registro Notas'!$D16:$R16)))</f>
        <v/>
      </c>
      <c r="K16" s="32">
        <f>IF(SUMPRODUCT(('Matriz Criterios'!$H$14:$V$14="X")*ISNUMBER('Registro Notas'!$D16:$R16))=0, "-", SUMPRODUCT(('Matriz Criterios'!$H$14:$V$14="X")*ISNUMBER('Registro Notas'!$D16:$R16)*'Registro Notas'!$D16:$R16)/SUMPRODUCT(('Matriz Criterios'!$H$14:$V$14="X")*ISNUMBER('Registro Notas'!$D16:$R16)))</f>
        <v/>
      </c>
      <c r="L16" s="32">
        <f>IF(SUMPRODUCT(('Matriz Criterios'!$H$15:$V$15="X")*ISNUMBER('Registro Notas'!$D16:$R16))=0, "-", SUMPRODUCT(('Matriz Criterios'!$H$15:$V$15="X")*ISNUMBER('Registro Notas'!$D16:$R16)*'Registro Notas'!$D16:$R16)/SUMPRODUCT(('Matriz Criterios'!$H$15:$V$15="X")*ISNUMBER('Registro Notas'!$D16:$R16)))</f>
        <v/>
      </c>
      <c r="M16" s="32">
        <f>IF(SUMPRODUCT(('Matriz Criterios'!$H$16:$V$16="X")*ISNUMBER('Registro Notas'!$D16:$R16))=0, "-", SUMPRODUCT(('Matriz Criterios'!$H$16:$V$16="X")*ISNUMBER('Registro Notas'!$D16:$R16)*'Registro Notas'!$D16:$R16)/SUMPRODUCT(('Matriz Criterios'!$H$16:$V$16="X")*ISNUMBER('Registro Notas'!$D16:$R16)))</f>
        <v/>
      </c>
      <c r="N16" s="32">
        <f>IF(SUMPRODUCT(('Matriz Criterios'!$H$17:$V$17="X")*ISNUMBER('Registro Notas'!$D16:$R16))=0, "-", SUMPRODUCT(('Matriz Criterios'!$H$17:$V$17="X")*ISNUMBER('Registro Notas'!$D16:$R16)*'Registro Notas'!$D16:$R16)/SUMPRODUCT(('Matriz Criterios'!$H$17:$V$17="X")*ISNUMBER('Registro Notas'!$D16:$R16)))</f>
        <v/>
      </c>
      <c r="O16" s="32">
        <f>IF(SUMPRODUCT(('Matriz Criterios'!$H$18:$V$18="X")*ISNUMBER('Registro Notas'!$D16:$R16))=0, "-", SUMPRODUCT(('Matriz Criterios'!$H$18:$V$18="X")*ISNUMBER('Registro Notas'!$D16:$R16)*'Registro Notas'!$D16:$R16)/SUMPRODUCT(('Matriz Criterios'!$H$18:$V$18="X")*ISNUMBER('Registro Notas'!$D16:$R16)))</f>
        <v/>
      </c>
      <c r="P16" s="32">
        <f>IF(SUMPRODUCT(('Matriz Criterios'!$H$19:$V$19="X")*ISNUMBER('Registro Notas'!$D16:$R16))=0, "-", SUMPRODUCT(('Matriz Criterios'!$H$19:$V$19="X")*ISNUMBER('Registro Notas'!$D16:$R16)*'Registro Notas'!$D16:$R16)/SUMPRODUCT(('Matriz Criterios'!$H$19:$V$19="X")*ISNUMBER('Registro Notas'!$D16:$R16)))</f>
        <v/>
      </c>
      <c r="Q16" s="32">
        <f>IF(SUMPRODUCT(('Matriz Criterios'!$H$20:$V$20="X")*ISNUMBER('Registro Notas'!$D16:$R16))=0, "-", SUMPRODUCT(('Matriz Criterios'!$H$20:$V$20="X")*ISNUMBER('Registro Notas'!$D16:$R16)*'Registro Notas'!$D16:$R16)/SUMPRODUCT(('Matriz Criterios'!$H$20:$V$20="X")*ISNUMBER('Registro Notas'!$D16:$R16)))</f>
        <v/>
      </c>
      <c r="R16" s="32">
        <f>IF(SUMPRODUCT(('Matriz Criterios'!$H$21:$V$21="X")*ISNUMBER('Registro Notas'!$D16:$R16))=0, "-", SUMPRODUCT(('Matriz Criterios'!$H$21:$V$21="X")*ISNUMBER('Registro Notas'!$D16:$R16)*'Registro Notas'!$D16:$R16)/SUMPRODUCT(('Matriz Criterios'!$H$21:$V$21="X")*ISNUMBER('Registro Notas'!$D16:$R16)))</f>
        <v/>
      </c>
      <c r="S16" s="32">
        <f>IF(SUMPRODUCT(('Matriz Criterios'!$H$22:$V$22="X")*ISNUMBER('Registro Notas'!$D16:$R16))=0, "-", SUMPRODUCT(('Matriz Criterios'!$H$22:$V$22="X")*ISNUMBER('Registro Notas'!$D16:$R16)*'Registro Notas'!$D16:$R16)/SUMPRODUCT(('Matriz Criterios'!$H$22:$V$22="X")*ISNUMBER('Registro Notas'!$D16:$R16)))</f>
        <v/>
      </c>
      <c r="T16" s="32">
        <f>IF(SUMPRODUCT(('Matriz Criterios'!$H$23:$V$23="X")*ISNUMBER('Registro Notas'!$D16:$R16))=0, "-", SUMPRODUCT(('Matriz Criterios'!$H$23:$V$23="X")*ISNUMBER('Registro Notas'!$D16:$R16)*'Registro Notas'!$D16:$R16)/SUMPRODUCT(('Matriz Criterios'!$H$23:$V$23="X")*ISNUMBER('Registro Notas'!$D16:$R16)))</f>
        <v/>
      </c>
      <c r="U16" s="32">
        <f>IF(SUMPRODUCT(('Matriz Criterios'!$H$24:$V$24="X")*ISNUMBER('Registro Notas'!$D16:$R16))=0, "-", SUMPRODUCT(('Matriz Criterios'!$H$24:$V$24="X")*ISNUMBER('Registro Notas'!$D16:$R16)*'Registro Notas'!$D16:$R16)/SUMPRODUCT(('Matriz Criterios'!$H$24:$V$24="X")*ISNUMBER('Registro Notas'!$D16:$R16)))</f>
        <v/>
      </c>
      <c r="V16" s="32">
        <f>IF(SUMPRODUCT(('Matriz Criterios'!$H$25:$V$25="X")*ISNUMBER('Registro Notas'!$D16:$R16))=0, "-", SUMPRODUCT(('Matriz Criterios'!$H$25:$V$25="X")*ISNUMBER('Registro Notas'!$D16:$R16)*'Registro Notas'!$D16:$R16)/SUMPRODUCT(('Matriz Criterios'!$H$25:$V$25="X")*ISNUMBER('Registro Notas'!$D16:$R16)))</f>
        <v/>
      </c>
      <c r="W16" s="32">
        <f>IF(SUMPRODUCT(('Matriz Criterios'!$H$26:$V$26="X")*ISNUMBER('Registro Notas'!$D16:$R16))=0, "-", SUMPRODUCT(('Matriz Criterios'!$H$26:$V$26="X")*ISNUMBER('Registro Notas'!$D16:$R16)*'Registro Notas'!$D16:$R16)/SUMPRODUCT(('Matriz Criterios'!$H$26:$V$26="X")*ISNUMBER('Registro Notas'!$D16:$R16)))</f>
        <v/>
      </c>
      <c r="X16" s="32">
        <f>IF(SUMPRODUCT(('Matriz Criterios'!$H$27:$V$27="X")*ISNUMBER('Registro Notas'!$D16:$R16))=0, "-", SUMPRODUCT(('Matriz Criterios'!$H$27:$V$27="X")*ISNUMBER('Registro Notas'!$D16:$R16)*'Registro Notas'!$D16:$R16)/SUMPRODUCT(('Matriz Criterios'!$H$27:$V$27="X")*ISNUMBER('Registro Notas'!$D16:$R16)))</f>
        <v/>
      </c>
      <c r="Y16" s="32">
        <f>IF(SUMPRODUCT(('Matriz Criterios'!$H$28:$V$28="X")*ISNUMBER('Registro Notas'!$D16:$R16))=0, "-", SUMPRODUCT(('Matriz Criterios'!$H$28:$V$28="X")*ISNUMBER('Registro Notas'!$D16:$R16)*'Registro Notas'!$D16:$R16)/SUMPRODUCT(('Matriz Criterios'!$H$28:$V$28="X")*ISNUMBER('Registro Notas'!$D16:$R16)))</f>
        <v/>
      </c>
      <c r="Z16" s="32">
        <f>IF(SUMPRODUCT(('Matriz Criterios'!$H$29:$V$29="X")*ISNUMBER('Registro Notas'!$D16:$R16))=0, "-", SUMPRODUCT(('Matriz Criterios'!$H$29:$V$29="X")*ISNUMBER('Registro Notas'!$D16:$R16)*'Registro Notas'!$D16:$R16)/SUMPRODUCT(('Matriz Criterios'!$H$29:$V$29="X")*ISNUMBER('Registro Notas'!$D16:$R16)))</f>
        <v/>
      </c>
      <c r="AA16" s="32">
        <f>IF(SUMPRODUCT(('Matriz Criterios'!$H$30:$V$30="X")*ISNUMBER('Registro Notas'!$D16:$R16))=0, "-", SUMPRODUCT(('Matriz Criterios'!$H$30:$V$30="X")*ISNUMBER('Registro Notas'!$D16:$R16)*'Registro Notas'!$D16:$R16)/SUMPRODUCT(('Matriz Criterios'!$H$30:$V$30="X")*ISNUMBER('Registro Notas'!$D16:$R16)))</f>
        <v/>
      </c>
      <c r="AB16" s="32">
        <f>IF(SUMPRODUCT(('Matriz Criterios'!$H$31:$V$31="X")*ISNUMBER('Registro Notas'!$D16:$R16))=0, "-", SUMPRODUCT(('Matriz Criterios'!$H$31:$V$31="X")*ISNUMBER('Registro Notas'!$D16:$R16)*'Registro Notas'!$D16:$R16)/SUMPRODUCT(('Matriz Criterios'!$H$31:$V$31="X")*ISNUMBER('Registro Notas'!$D16:$R16)))</f>
        <v/>
      </c>
      <c r="AC16" s="32">
        <f>IF(SUMPRODUCT(('Matriz Criterios'!$H$32:$V$32="X")*ISNUMBER('Registro Notas'!$D16:$R16))=0, "-", SUMPRODUCT(('Matriz Criterios'!$H$32:$V$32="X")*ISNUMBER('Registro Notas'!$D16:$R16)*'Registro Notas'!$D16:$R16)/SUMPRODUCT(('Matriz Criterios'!$H$32:$V$32="X")*ISNUMBER('Registro Notas'!$D16:$R16)))</f>
        <v/>
      </c>
      <c r="AD16" s="32">
        <f>IF(SUMPRODUCT(('Matriz Criterios'!$H$33:$V$33="X")*ISNUMBER('Registro Notas'!$D16:$R16))=0, "-", SUMPRODUCT(('Matriz Criterios'!$H$33:$V$33="X")*ISNUMBER('Registro Notas'!$D16:$R16)*'Registro Notas'!$D16:$R16)/SUMPRODUCT(('Matriz Criterios'!$H$33:$V$33="X")*ISNUMBER('Registro Notas'!$D16:$R16)))</f>
        <v/>
      </c>
      <c r="AE16" s="32">
        <f>IF(SUMPRODUCT(('Matriz Criterios'!$H$34:$V$34="X")*ISNUMBER('Registro Notas'!$D16:$R16))=0, "-", SUMPRODUCT(('Matriz Criterios'!$H$34:$V$34="X")*ISNUMBER('Registro Notas'!$D16:$R16)*'Registro Notas'!$D16:$R16)/SUMPRODUCT(('Matriz Criterios'!$H$34:$V$34="X")*ISNUMBER('Registro Notas'!$D16:$R16)))</f>
        <v/>
      </c>
      <c r="AF16" s="32">
        <f>IF(SUMPRODUCT(('Matriz Criterios'!$H$35:$V$35="X")*ISNUMBER('Registro Notas'!$D16:$R16))=0, "-", SUMPRODUCT(('Matriz Criterios'!$H$35:$V$35="X")*ISNUMBER('Registro Notas'!$D16:$R16)*'Registro Notas'!$D16:$R16)/SUMPRODUCT(('Matriz Criterios'!$H$35:$V$35="X")*ISNUMBER('Registro Notas'!$D16:$R16)))</f>
        <v/>
      </c>
      <c r="AG16" s="32">
        <f>IF(SUMPRODUCT(('Matriz Criterios'!$H$36:$V$36="X")*ISNUMBER('Registro Notas'!$D16:$R16))=0, "-", SUMPRODUCT(('Matriz Criterios'!$H$36:$V$36="X")*ISNUMBER('Registro Notas'!$D16:$R16)*'Registro Notas'!$D16:$R16)/SUMPRODUCT(('Matriz Criterios'!$H$36:$V$36="X")*ISNUMBER('Registro Notas'!$D16:$R16)))</f>
        <v/>
      </c>
      <c r="AH16" s="32">
        <f>IF(SUMPRODUCT(('Matriz Criterios'!$H$37:$V$37="X")*ISNUMBER('Registro Notas'!$D16:$R16))=0, "-", SUMPRODUCT(('Matriz Criterios'!$H$37:$V$37="X")*ISNUMBER('Registro Notas'!$D16:$R16)*'Registro Notas'!$D16:$R16)/SUMPRODUCT(('Matriz Criterios'!$H$37:$V$37="X")*ISNUMBER('Registro Notas'!$D16:$R16)))</f>
        <v/>
      </c>
      <c r="AI16" s="32">
        <f>IF(SUMPRODUCT(('Matriz Criterios'!$H$38:$V$38="X")*ISNUMBER('Registro Notas'!$D16:$R16))=0, "-", SUMPRODUCT(('Matriz Criterios'!$H$38:$V$38="X")*ISNUMBER('Registro Notas'!$D16:$R16)*'Registro Notas'!$D16:$R16)/SUMPRODUCT(('Matriz Criterios'!$H$38:$V$38="X")*ISNUMBER('Registro Notas'!$D16:$R16)))</f>
        <v/>
      </c>
      <c r="AJ16" s="32">
        <f>IF(SUMPRODUCT(('Matriz Criterios'!$H$39:$V$39="X")*ISNUMBER('Registro Notas'!$D16:$R16))=0, "-", SUMPRODUCT(('Matriz Criterios'!$H$39:$V$39="X")*ISNUMBER('Registro Notas'!$D16:$R16)*'Registro Notas'!$D16:$R16)/SUMPRODUCT(('Matriz Criterios'!$H$39:$V$39="X")*ISNUMBER('Registro Notas'!$D16:$R16)))</f>
        <v/>
      </c>
      <c r="AK16" s="32">
        <f>IF(SUMPRODUCT(('Matriz Criterios'!$H$40:$V$40="X")*ISNUMBER('Registro Notas'!$D16:$R16))=0, "-", SUMPRODUCT(('Matriz Criterios'!$H$40:$V$40="X")*ISNUMBER('Registro Notas'!$D16:$R16)*'Registro Notas'!$D16:$R16)/SUMPRODUCT(('Matriz Criterios'!$H$40:$V$40="X")*ISNUMBER('Registro Notas'!$D16:$R16)))</f>
        <v/>
      </c>
      <c r="AL16" s="32">
        <f>IF(SUMPRODUCT(('Matriz Criterios'!$H$41:$V$41="X")*ISNUMBER('Registro Notas'!$D16:$R16))=0, "-", SUMPRODUCT(('Matriz Criterios'!$H$41:$V$41="X")*ISNUMBER('Registro Notas'!$D16:$R16)*'Registro Notas'!$D16:$R16)/SUMPRODUCT(('Matriz Criterios'!$H$41:$V$41="X")*ISNUMBER('Registro Notas'!$D16:$R16)))</f>
        <v/>
      </c>
      <c r="AM16" s="32">
        <f>IF(SUMPRODUCT(('Matriz Criterios'!$H$42:$V$42="X")*ISNUMBER('Registro Notas'!$D16:$R16))=0, "-", SUMPRODUCT(('Matriz Criterios'!$H$42:$V$42="X")*ISNUMBER('Registro Notas'!$D16:$R16)*'Registro Notas'!$D16:$R16)/SUMPRODUCT(('Matriz Criterios'!$H$42:$V$42="X")*ISNUMBER('Registro Notas'!$D16:$R16)))</f>
        <v/>
      </c>
      <c r="AN16" s="32">
        <f>IF(SUMPRODUCT(('Matriz Criterios'!$H$43:$V$43="X")*ISNUMBER('Registro Notas'!$D16:$R16))=0, "-", SUMPRODUCT(('Matriz Criterios'!$H$43:$V$43="X")*ISNUMBER('Registro Notas'!$D16:$R16)*'Registro Notas'!$D16:$R16)/SUMPRODUCT(('Matriz Criterios'!$H$43:$V$43="X")*ISNUMBER('Registro Notas'!$D16:$R16)))</f>
        <v/>
      </c>
      <c r="AO16" s="32">
        <f>IF(SUMPRODUCT(('Matriz Criterios'!$H$44:$V$44="X")*ISNUMBER('Registro Notas'!$D16:$R16))=0, "-", SUMPRODUCT(('Matriz Criterios'!$H$44:$V$44="X")*ISNUMBER('Registro Notas'!$D16:$R16)*'Registro Notas'!$D16:$R16)/SUMPRODUCT(('Matriz Criterios'!$H$44:$V$44="X")*ISNUMBER('Registro Notas'!$D16:$R16)))</f>
        <v/>
      </c>
      <c r="AP16" s="32">
        <f>IF(SUMPRODUCT(('Matriz Criterios'!$H$45:$V$45="X")*ISNUMBER('Registro Notas'!$D16:$R16))=0, "-", SUMPRODUCT(('Matriz Criterios'!$H$45:$V$45="X")*ISNUMBER('Registro Notas'!$D16:$R16)*'Registro Notas'!$D16:$R16)/SUMPRODUCT(('Matriz Criterios'!$H$45:$V$45="X")*ISNUMBER('Registro Notas'!$D16:$R16)))</f>
        <v/>
      </c>
      <c r="AQ16" s="45">
        <f>AVERAGE(C16:AP16)</f>
        <v/>
      </c>
      <c r="AR16" s="46">
        <f>COUNTIF(C16:AP16, "&gt;=5")</f>
        <v/>
      </c>
    </row>
    <row r="17" ht="20" customHeight="1">
      <c r="A17" s="21" t="n">
        <v>12</v>
      </c>
      <c r="B17" s="35" t="inlineStr">
        <is>
          <t>Pérez Rubio, Álvaro</t>
        </is>
      </c>
      <c r="C17" s="36">
        <f>IF(SUMPRODUCT(('Matriz Criterios'!$H$6:$V$6="X")*ISNUMBER('Registro Notas'!$D17:$R17))=0, "-", SUMPRODUCT(('Matriz Criterios'!$H$6:$V$6="X")*ISNUMBER('Registro Notas'!$D17:$R17)*'Registro Notas'!$D17:$R17)/SUMPRODUCT(('Matriz Criterios'!$H$6:$V$6="X")*ISNUMBER('Registro Notas'!$D17:$R17)))</f>
        <v/>
      </c>
      <c r="D17" s="36">
        <f>IF(SUMPRODUCT(('Matriz Criterios'!$H$7:$V$7="X")*ISNUMBER('Registro Notas'!$D17:$R17))=0, "-", SUMPRODUCT(('Matriz Criterios'!$H$7:$V$7="X")*ISNUMBER('Registro Notas'!$D17:$R17)*'Registro Notas'!$D17:$R17)/SUMPRODUCT(('Matriz Criterios'!$H$7:$V$7="X")*ISNUMBER('Registro Notas'!$D17:$R17)))</f>
        <v/>
      </c>
      <c r="E17" s="36">
        <f>IF(SUMPRODUCT(('Matriz Criterios'!$H$8:$V$8="X")*ISNUMBER('Registro Notas'!$D17:$R17))=0, "-", SUMPRODUCT(('Matriz Criterios'!$H$8:$V$8="X")*ISNUMBER('Registro Notas'!$D17:$R17)*'Registro Notas'!$D17:$R17)/SUMPRODUCT(('Matriz Criterios'!$H$8:$V$8="X")*ISNUMBER('Registro Notas'!$D17:$R17)))</f>
        <v/>
      </c>
      <c r="F17" s="36">
        <f>IF(SUMPRODUCT(('Matriz Criterios'!$H$9:$V$9="X")*ISNUMBER('Registro Notas'!$D17:$R17))=0, "-", SUMPRODUCT(('Matriz Criterios'!$H$9:$V$9="X")*ISNUMBER('Registro Notas'!$D17:$R17)*'Registro Notas'!$D17:$R17)/SUMPRODUCT(('Matriz Criterios'!$H$9:$V$9="X")*ISNUMBER('Registro Notas'!$D17:$R17)))</f>
        <v/>
      </c>
      <c r="G17" s="36">
        <f>IF(SUMPRODUCT(('Matriz Criterios'!$H$10:$V$10="X")*ISNUMBER('Registro Notas'!$D17:$R17))=0, "-", SUMPRODUCT(('Matriz Criterios'!$H$10:$V$10="X")*ISNUMBER('Registro Notas'!$D17:$R17)*'Registro Notas'!$D17:$R17)/SUMPRODUCT(('Matriz Criterios'!$H$10:$V$10="X")*ISNUMBER('Registro Notas'!$D17:$R17)))</f>
        <v/>
      </c>
      <c r="H17" s="36">
        <f>IF(SUMPRODUCT(('Matriz Criterios'!$H$11:$V$11="X")*ISNUMBER('Registro Notas'!$D17:$R17))=0, "-", SUMPRODUCT(('Matriz Criterios'!$H$11:$V$11="X")*ISNUMBER('Registro Notas'!$D17:$R17)*'Registro Notas'!$D17:$R17)/SUMPRODUCT(('Matriz Criterios'!$H$11:$V$11="X")*ISNUMBER('Registro Notas'!$D17:$R17)))</f>
        <v/>
      </c>
      <c r="I17" s="36">
        <f>IF(SUMPRODUCT(('Matriz Criterios'!$H$12:$V$12="X")*ISNUMBER('Registro Notas'!$D17:$R17))=0, "-", SUMPRODUCT(('Matriz Criterios'!$H$12:$V$12="X")*ISNUMBER('Registro Notas'!$D17:$R17)*'Registro Notas'!$D17:$R17)/SUMPRODUCT(('Matriz Criterios'!$H$12:$V$12="X")*ISNUMBER('Registro Notas'!$D17:$R17)))</f>
        <v/>
      </c>
      <c r="J17" s="36">
        <f>IF(SUMPRODUCT(('Matriz Criterios'!$H$13:$V$13="X")*ISNUMBER('Registro Notas'!$D17:$R17))=0, "-", SUMPRODUCT(('Matriz Criterios'!$H$13:$V$13="X")*ISNUMBER('Registro Notas'!$D17:$R17)*'Registro Notas'!$D17:$R17)/SUMPRODUCT(('Matriz Criterios'!$H$13:$V$13="X")*ISNUMBER('Registro Notas'!$D17:$R17)))</f>
        <v/>
      </c>
      <c r="K17" s="36">
        <f>IF(SUMPRODUCT(('Matriz Criterios'!$H$14:$V$14="X")*ISNUMBER('Registro Notas'!$D17:$R17))=0, "-", SUMPRODUCT(('Matriz Criterios'!$H$14:$V$14="X")*ISNUMBER('Registro Notas'!$D17:$R17)*'Registro Notas'!$D17:$R17)/SUMPRODUCT(('Matriz Criterios'!$H$14:$V$14="X")*ISNUMBER('Registro Notas'!$D17:$R17)))</f>
        <v/>
      </c>
      <c r="L17" s="36">
        <f>IF(SUMPRODUCT(('Matriz Criterios'!$H$15:$V$15="X")*ISNUMBER('Registro Notas'!$D17:$R17))=0, "-", SUMPRODUCT(('Matriz Criterios'!$H$15:$V$15="X")*ISNUMBER('Registro Notas'!$D17:$R17)*'Registro Notas'!$D17:$R17)/SUMPRODUCT(('Matriz Criterios'!$H$15:$V$15="X")*ISNUMBER('Registro Notas'!$D17:$R17)))</f>
        <v/>
      </c>
      <c r="M17" s="36">
        <f>IF(SUMPRODUCT(('Matriz Criterios'!$H$16:$V$16="X")*ISNUMBER('Registro Notas'!$D17:$R17))=0, "-", SUMPRODUCT(('Matriz Criterios'!$H$16:$V$16="X")*ISNUMBER('Registro Notas'!$D17:$R17)*'Registro Notas'!$D17:$R17)/SUMPRODUCT(('Matriz Criterios'!$H$16:$V$16="X")*ISNUMBER('Registro Notas'!$D17:$R17)))</f>
        <v/>
      </c>
      <c r="N17" s="36">
        <f>IF(SUMPRODUCT(('Matriz Criterios'!$H$17:$V$17="X")*ISNUMBER('Registro Notas'!$D17:$R17))=0, "-", SUMPRODUCT(('Matriz Criterios'!$H$17:$V$17="X")*ISNUMBER('Registro Notas'!$D17:$R17)*'Registro Notas'!$D17:$R17)/SUMPRODUCT(('Matriz Criterios'!$H$17:$V$17="X")*ISNUMBER('Registro Notas'!$D17:$R17)))</f>
        <v/>
      </c>
      <c r="O17" s="36">
        <f>IF(SUMPRODUCT(('Matriz Criterios'!$H$18:$V$18="X")*ISNUMBER('Registro Notas'!$D17:$R17))=0, "-", SUMPRODUCT(('Matriz Criterios'!$H$18:$V$18="X")*ISNUMBER('Registro Notas'!$D17:$R17)*'Registro Notas'!$D17:$R17)/SUMPRODUCT(('Matriz Criterios'!$H$18:$V$18="X")*ISNUMBER('Registro Notas'!$D17:$R17)))</f>
        <v/>
      </c>
      <c r="P17" s="36">
        <f>IF(SUMPRODUCT(('Matriz Criterios'!$H$19:$V$19="X")*ISNUMBER('Registro Notas'!$D17:$R17))=0, "-", SUMPRODUCT(('Matriz Criterios'!$H$19:$V$19="X")*ISNUMBER('Registro Notas'!$D17:$R17)*'Registro Notas'!$D17:$R17)/SUMPRODUCT(('Matriz Criterios'!$H$19:$V$19="X")*ISNUMBER('Registro Notas'!$D17:$R17)))</f>
        <v/>
      </c>
      <c r="Q17" s="36">
        <f>IF(SUMPRODUCT(('Matriz Criterios'!$H$20:$V$20="X")*ISNUMBER('Registro Notas'!$D17:$R17))=0, "-", SUMPRODUCT(('Matriz Criterios'!$H$20:$V$20="X")*ISNUMBER('Registro Notas'!$D17:$R17)*'Registro Notas'!$D17:$R17)/SUMPRODUCT(('Matriz Criterios'!$H$20:$V$20="X")*ISNUMBER('Registro Notas'!$D17:$R17)))</f>
        <v/>
      </c>
      <c r="R17" s="36">
        <f>IF(SUMPRODUCT(('Matriz Criterios'!$H$21:$V$21="X")*ISNUMBER('Registro Notas'!$D17:$R17))=0, "-", SUMPRODUCT(('Matriz Criterios'!$H$21:$V$21="X")*ISNUMBER('Registro Notas'!$D17:$R17)*'Registro Notas'!$D17:$R17)/SUMPRODUCT(('Matriz Criterios'!$H$21:$V$21="X")*ISNUMBER('Registro Notas'!$D17:$R17)))</f>
        <v/>
      </c>
      <c r="S17" s="36">
        <f>IF(SUMPRODUCT(('Matriz Criterios'!$H$22:$V$22="X")*ISNUMBER('Registro Notas'!$D17:$R17))=0, "-", SUMPRODUCT(('Matriz Criterios'!$H$22:$V$22="X")*ISNUMBER('Registro Notas'!$D17:$R17)*'Registro Notas'!$D17:$R17)/SUMPRODUCT(('Matriz Criterios'!$H$22:$V$22="X")*ISNUMBER('Registro Notas'!$D17:$R17)))</f>
        <v/>
      </c>
      <c r="T17" s="36">
        <f>IF(SUMPRODUCT(('Matriz Criterios'!$H$23:$V$23="X")*ISNUMBER('Registro Notas'!$D17:$R17))=0, "-", SUMPRODUCT(('Matriz Criterios'!$H$23:$V$23="X")*ISNUMBER('Registro Notas'!$D17:$R17)*'Registro Notas'!$D17:$R17)/SUMPRODUCT(('Matriz Criterios'!$H$23:$V$23="X")*ISNUMBER('Registro Notas'!$D17:$R17)))</f>
        <v/>
      </c>
      <c r="U17" s="36">
        <f>IF(SUMPRODUCT(('Matriz Criterios'!$H$24:$V$24="X")*ISNUMBER('Registro Notas'!$D17:$R17))=0, "-", SUMPRODUCT(('Matriz Criterios'!$H$24:$V$24="X")*ISNUMBER('Registro Notas'!$D17:$R17)*'Registro Notas'!$D17:$R17)/SUMPRODUCT(('Matriz Criterios'!$H$24:$V$24="X")*ISNUMBER('Registro Notas'!$D17:$R17)))</f>
        <v/>
      </c>
      <c r="V17" s="36">
        <f>IF(SUMPRODUCT(('Matriz Criterios'!$H$25:$V$25="X")*ISNUMBER('Registro Notas'!$D17:$R17))=0, "-", SUMPRODUCT(('Matriz Criterios'!$H$25:$V$25="X")*ISNUMBER('Registro Notas'!$D17:$R17)*'Registro Notas'!$D17:$R17)/SUMPRODUCT(('Matriz Criterios'!$H$25:$V$25="X")*ISNUMBER('Registro Notas'!$D17:$R17)))</f>
        <v/>
      </c>
      <c r="W17" s="36">
        <f>IF(SUMPRODUCT(('Matriz Criterios'!$H$26:$V$26="X")*ISNUMBER('Registro Notas'!$D17:$R17))=0, "-", SUMPRODUCT(('Matriz Criterios'!$H$26:$V$26="X")*ISNUMBER('Registro Notas'!$D17:$R17)*'Registro Notas'!$D17:$R17)/SUMPRODUCT(('Matriz Criterios'!$H$26:$V$26="X")*ISNUMBER('Registro Notas'!$D17:$R17)))</f>
        <v/>
      </c>
      <c r="X17" s="36">
        <f>IF(SUMPRODUCT(('Matriz Criterios'!$H$27:$V$27="X")*ISNUMBER('Registro Notas'!$D17:$R17))=0, "-", SUMPRODUCT(('Matriz Criterios'!$H$27:$V$27="X")*ISNUMBER('Registro Notas'!$D17:$R17)*'Registro Notas'!$D17:$R17)/SUMPRODUCT(('Matriz Criterios'!$H$27:$V$27="X")*ISNUMBER('Registro Notas'!$D17:$R17)))</f>
        <v/>
      </c>
      <c r="Y17" s="36">
        <f>IF(SUMPRODUCT(('Matriz Criterios'!$H$28:$V$28="X")*ISNUMBER('Registro Notas'!$D17:$R17))=0, "-", SUMPRODUCT(('Matriz Criterios'!$H$28:$V$28="X")*ISNUMBER('Registro Notas'!$D17:$R17)*'Registro Notas'!$D17:$R17)/SUMPRODUCT(('Matriz Criterios'!$H$28:$V$28="X")*ISNUMBER('Registro Notas'!$D17:$R17)))</f>
        <v/>
      </c>
      <c r="Z17" s="36">
        <f>IF(SUMPRODUCT(('Matriz Criterios'!$H$29:$V$29="X")*ISNUMBER('Registro Notas'!$D17:$R17))=0, "-", SUMPRODUCT(('Matriz Criterios'!$H$29:$V$29="X")*ISNUMBER('Registro Notas'!$D17:$R17)*'Registro Notas'!$D17:$R17)/SUMPRODUCT(('Matriz Criterios'!$H$29:$V$29="X")*ISNUMBER('Registro Notas'!$D17:$R17)))</f>
        <v/>
      </c>
      <c r="AA17" s="36">
        <f>IF(SUMPRODUCT(('Matriz Criterios'!$H$30:$V$30="X")*ISNUMBER('Registro Notas'!$D17:$R17))=0, "-", SUMPRODUCT(('Matriz Criterios'!$H$30:$V$30="X")*ISNUMBER('Registro Notas'!$D17:$R17)*'Registro Notas'!$D17:$R17)/SUMPRODUCT(('Matriz Criterios'!$H$30:$V$30="X")*ISNUMBER('Registro Notas'!$D17:$R17)))</f>
        <v/>
      </c>
      <c r="AB17" s="36">
        <f>IF(SUMPRODUCT(('Matriz Criterios'!$H$31:$V$31="X")*ISNUMBER('Registro Notas'!$D17:$R17))=0, "-", SUMPRODUCT(('Matriz Criterios'!$H$31:$V$31="X")*ISNUMBER('Registro Notas'!$D17:$R17)*'Registro Notas'!$D17:$R17)/SUMPRODUCT(('Matriz Criterios'!$H$31:$V$31="X")*ISNUMBER('Registro Notas'!$D17:$R17)))</f>
        <v/>
      </c>
      <c r="AC17" s="36">
        <f>IF(SUMPRODUCT(('Matriz Criterios'!$H$32:$V$32="X")*ISNUMBER('Registro Notas'!$D17:$R17))=0, "-", SUMPRODUCT(('Matriz Criterios'!$H$32:$V$32="X")*ISNUMBER('Registro Notas'!$D17:$R17)*'Registro Notas'!$D17:$R17)/SUMPRODUCT(('Matriz Criterios'!$H$32:$V$32="X")*ISNUMBER('Registro Notas'!$D17:$R17)))</f>
        <v/>
      </c>
      <c r="AD17" s="36">
        <f>IF(SUMPRODUCT(('Matriz Criterios'!$H$33:$V$33="X")*ISNUMBER('Registro Notas'!$D17:$R17))=0, "-", SUMPRODUCT(('Matriz Criterios'!$H$33:$V$33="X")*ISNUMBER('Registro Notas'!$D17:$R17)*'Registro Notas'!$D17:$R17)/SUMPRODUCT(('Matriz Criterios'!$H$33:$V$33="X")*ISNUMBER('Registro Notas'!$D17:$R17)))</f>
        <v/>
      </c>
      <c r="AE17" s="36">
        <f>IF(SUMPRODUCT(('Matriz Criterios'!$H$34:$V$34="X")*ISNUMBER('Registro Notas'!$D17:$R17))=0, "-", SUMPRODUCT(('Matriz Criterios'!$H$34:$V$34="X")*ISNUMBER('Registro Notas'!$D17:$R17)*'Registro Notas'!$D17:$R17)/SUMPRODUCT(('Matriz Criterios'!$H$34:$V$34="X")*ISNUMBER('Registro Notas'!$D17:$R17)))</f>
        <v/>
      </c>
      <c r="AF17" s="36">
        <f>IF(SUMPRODUCT(('Matriz Criterios'!$H$35:$V$35="X")*ISNUMBER('Registro Notas'!$D17:$R17))=0, "-", SUMPRODUCT(('Matriz Criterios'!$H$35:$V$35="X")*ISNUMBER('Registro Notas'!$D17:$R17)*'Registro Notas'!$D17:$R17)/SUMPRODUCT(('Matriz Criterios'!$H$35:$V$35="X")*ISNUMBER('Registro Notas'!$D17:$R17)))</f>
        <v/>
      </c>
      <c r="AG17" s="36">
        <f>IF(SUMPRODUCT(('Matriz Criterios'!$H$36:$V$36="X")*ISNUMBER('Registro Notas'!$D17:$R17))=0, "-", SUMPRODUCT(('Matriz Criterios'!$H$36:$V$36="X")*ISNUMBER('Registro Notas'!$D17:$R17)*'Registro Notas'!$D17:$R17)/SUMPRODUCT(('Matriz Criterios'!$H$36:$V$36="X")*ISNUMBER('Registro Notas'!$D17:$R17)))</f>
        <v/>
      </c>
      <c r="AH17" s="36">
        <f>IF(SUMPRODUCT(('Matriz Criterios'!$H$37:$V$37="X")*ISNUMBER('Registro Notas'!$D17:$R17))=0, "-", SUMPRODUCT(('Matriz Criterios'!$H$37:$V$37="X")*ISNUMBER('Registro Notas'!$D17:$R17)*'Registro Notas'!$D17:$R17)/SUMPRODUCT(('Matriz Criterios'!$H$37:$V$37="X")*ISNUMBER('Registro Notas'!$D17:$R17)))</f>
        <v/>
      </c>
      <c r="AI17" s="36">
        <f>IF(SUMPRODUCT(('Matriz Criterios'!$H$38:$V$38="X")*ISNUMBER('Registro Notas'!$D17:$R17))=0, "-", SUMPRODUCT(('Matriz Criterios'!$H$38:$V$38="X")*ISNUMBER('Registro Notas'!$D17:$R17)*'Registro Notas'!$D17:$R17)/SUMPRODUCT(('Matriz Criterios'!$H$38:$V$38="X")*ISNUMBER('Registro Notas'!$D17:$R17)))</f>
        <v/>
      </c>
      <c r="AJ17" s="36">
        <f>IF(SUMPRODUCT(('Matriz Criterios'!$H$39:$V$39="X")*ISNUMBER('Registro Notas'!$D17:$R17))=0, "-", SUMPRODUCT(('Matriz Criterios'!$H$39:$V$39="X")*ISNUMBER('Registro Notas'!$D17:$R17)*'Registro Notas'!$D17:$R17)/SUMPRODUCT(('Matriz Criterios'!$H$39:$V$39="X")*ISNUMBER('Registro Notas'!$D17:$R17)))</f>
        <v/>
      </c>
      <c r="AK17" s="36">
        <f>IF(SUMPRODUCT(('Matriz Criterios'!$H$40:$V$40="X")*ISNUMBER('Registro Notas'!$D17:$R17))=0, "-", SUMPRODUCT(('Matriz Criterios'!$H$40:$V$40="X")*ISNUMBER('Registro Notas'!$D17:$R17)*'Registro Notas'!$D17:$R17)/SUMPRODUCT(('Matriz Criterios'!$H$40:$V$40="X")*ISNUMBER('Registro Notas'!$D17:$R17)))</f>
        <v/>
      </c>
      <c r="AL17" s="36">
        <f>IF(SUMPRODUCT(('Matriz Criterios'!$H$41:$V$41="X")*ISNUMBER('Registro Notas'!$D17:$R17))=0, "-", SUMPRODUCT(('Matriz Criterios'!$H$41:$V$41="X")*ISNUMBER('Registro Notas'!$D17:$R17)*'Registro Notas'!$D17:$R17)/SUMPRODUCT(('Matriz Criterios'!$H$41:$V$41="X")*ISNUMBER('Registro Notas'!$D17:$R17)))</f>
        <v/>
      </c>
      <c r="AM17" s="36">
        <f>IF(SUMPRODUCT(('Matriz Criterios'!$H$42:$V$42="X")*ISNUMBER('Registro Notas'!$D17:$R17))=0, "-", SUMPRODUCT(('Matriz Criterios'!$H$42:$V$42="X")*ISNUMBER('Registro Notas'!$D17:$R17)*'Registro Notas'!$D17:$R17)/SUMPRODUCT(('Matriz Criterios'!$H$42:$V$42="X")*ISNUMBER('Registro Notas'!$D17:$R17)))</f>
        <v/>
      </c>
      <c r="AN17" s="36">
        <f>IF(SUMPRODUCT(('Matriz Criterios'!$H$43:$V$43="X")*ISNUMBER('Registro Notas'!$D17:$R17))=0, "-", SUMPRODUCT(('Matriz Criterios'!$H$43:$V$43="X")*ISNUMBER('Registro Notas'!$D17:$R17)*'Registro Notas'!$D17:$R17)/SUMPRODUCT(('Matriz Criterios'!$H$43:$V$43="X")*ISNUMBER('Registro Notas'!$D17:$R17)))</f>
        <v/>
      </c>
      <c r="AO17" s="36">
        <f>IF(SUMPRODUCT(('Matriz Criterios'!$H$44:$V$44="X")*ISNUMBER('Registro Notas'!$D17:$R17))=0, "-", SUMPRODUCT(('Matriz Criterios'!$H$44:$V$44="X")*ISNUMBER('Registro Notas'!$D17:$R17)*'Registro Notas'!$D17:$R17)/SUMPRODUCT(('Matriz Criterios'!$H$44:$V$44="X")*ISNUMBER('Registro Notas'!$D17:$R17)))</f>
        <v/>
      </c>
      <c r="AP17" s="36">
        <f>IF(SUMPRODUCT(('Matriz Criterios'!$H$45:$V$45="X")*ISNUMBER('Registro Notas'!$D17:$R17))=0, "-", SUMPRODUCT(('Matriz Criterios'!$H$45:$V$45="X")*ISNUMBER('Registro Notas'!$D17:$R17)*'Registro Notas'!$D17:$R17)/SUMPRODUCT(('Matriz Criterios'!$H$45:$V$45="X")*ISNUMBER('Registro Notas'!$D17:$R17)))</f>
        <v/>
      </c>
      <c r="AQ17" s="45">
        <f>AVERAGE(C17:AP17)</f>
        <v/>
      </c>
      <c r="AR17" s="46">
        <f>COUNTIF(C17:AP17, "&gt;=5")</f>
        <v/>
      </c>
    </row>
    <row r="18" ht="20" customHeight="1">
      <c r="A18" s="13" t="n">
        <v>13</v>
      </c>
      <c r="B18" s="31" t="inlineStr">
        <is>
          <t>Ramírez Soto, Carmen</t>
        </is>
      </c>
      <c r="C18" s="32">
        <f>IF(SUMPRODUCT(('Matriz Criterios'!$H$6:$V$6="X")*ISNUMBER('Registro Notas'!$D18:$R18))=0, "-", SUMPRODUCT(('Matriz Criterios'!$H$6:$V$6="X")*ISNUMBER('Registro Notas'!$D18:$R18)*'Registro Notas'!$D18:$R18)/SUMPRODUCT(('Matriz Criterios'!$H$6:$V$6="X")*ISNUMBER('Registro Notas'!$D18:$R18)))</f>
        <v/>
      </c>
      <c r="D18" s="32">
        <f>IF(SUMPRODUCT(('Matriz Criterios'!$H$7:$V$7="X")*ISNUMBER('Registro Notas'!$D18:$R18))=0, "-", SUMPRODUCT(('Matriz Criterios'!$H$7:$V$7="X")*ISNUMBER('Registro Notas'!$D18:$R18)*'Registro Notas'!$D18:$R18)/SUMPRODUCT(('Matriz Criterios'!$H$7:$V$7="X")*ISNUMBER('Registro Notas'!$D18:$R18)))</f>
        <v/>
      </c>
      <c r="E18" s="32">
        <f>IF(SUMPRODUCT(('Matriz Criterios'!$H$8:$V$8="X")*ISNUMBER('Registro Notas'!$D18:$R18))=0, "-", SUMPRODUCT(('Matriz Criterios'!$H$8:$V$8="X")*ISNUMBER('Registro Notas'!$D18:$R18)*'Registro Notas'!$D18:$R18)/SUMPRODUCT(('Matriz Criterios'!$H$8:$V$8="X")*ISNUMBER('Registro Notas'!$D18:$R18)))</f>
        <v/>
      </c>
      <c r="F18" s="32">
        <f>IF(SUMPRODUCT(('Matriz Criterios'!$H$9:$V$9="X")*ISNUMBER('Registro Notas'!$D18:$R18))=0, "-", SUMPRODUCT(('Matriz Criterios'!$H$9:$V$9="X")*ISNUMBER('Registro Notas'!$D18:$R18)*'Registro Notas'!$D18:$R18)/SUMPRODUCT(('Matriz Criterios'!$H$9:$V$9="X")*ISNUMBER('Registro Notas'!$D18:$R18)))</f>
        <v/>
      </c>
      <c r="G18" s="32">
        <f>IF(SUMPRODUCT(('Matriz Criterios'!$H$10:$V$10="X")*ISNUMBER('Registro Notas'!$D18:$R18))=0, "-", SUMPRODUCT(('Matriz Criterios'!$H$10:$V$10="X")*ISNUMBER('Registro Notas'!$D18:$R18)*'Registro Notas'!$D18:$R18)/SUMPRODUCT(('Matriz Criterios'!$H$10:$V$10="X")*ISNUMBER('Registro Notas'!$D18:$R18)))</f>
        <v/>
      </c>
      <c r="H18" s="32">
        <f>IF(SUMPRODUCT(('Matriz Criterios'!$H$11:$V$11="X")*ISNUMBER('Registro Notas'!$D18:$R18))=0, "-", SUMPRODUCT(('Matriz Criterios'!$H$11:$V$11="X")*ISNUMBER('Registro Notas'!$D18:$R18)*'Registro Notas'!$D18:$R18)/SUMPRODUCT(('Matriz Criterios'!$H$11:$V$11="X")*ISNUMBER('Registro Notas'!$D18:$R18)))</f>
        <v/>
      </c>
      <c r="I18" s="32">
        <f>IF(SUMPRODUCT(('Matriz Criterios'!$H$12:$V$12="X")*ISNUMBER('Registro Notas'!$D18:$R18))=0, "-", SUMPRODUCT(('Matriz Criterios'!$H$12:$V$12="X")*ISNUMBER('Registro Notas'!$D18:$R18)*'Registro Notas'!$D18:$R18)/SUMPRODUCT(('Matriz Criterios'!$H$12:$V$12="X")*ISNUMBER('Registro Notas'!$D18:$R18)))</f>
        <v/>
      </c>
      <c r="J18" s="32">
        <f>IF(SUMPRODUCT(('Matriz Criterios'!$H$13:$V$13="X")*ISNUMBER('Registro Notas'!$D18:$R18))=0, "-", SUMPRODUCT(('Matriz Criterios'!$H$13:$V$13="X")*ISNUMBER('Registro Notas'!$D18:$R18)*'Registro Notas'!$D18:$R18)/SUMPRODUCT(('Matriz Criterios'!$H$13:$V$13="X")*ISNUMBER('Registro Notas'!$D18:$R18)))</f>
        <v/>
      </c>
      <c r="K18" s="32">
        <f>IF(SUMPRODUCT(('Matriz Criterios'!$H$14:$V$14="X")*ISNUMBER('Registro Notas'!$D18:$R18))=0, "-", SUMPRODUCT(('Matriz Criterios'!$H$14:$V$14="X")*ISNUMBER('Registro Notas'!$D18:$R18)*'Registro Notas'!$D18:$R18)/SUMPRODUCT(('Matriz Criterios'!$H$14:$V$14="X")*ISNUMBER('Registro Notas'!$D18:$R18)))</f>
        <v/>
      </c>
      <c r="L18" s="32">
        <f>IF(SUMPRODUCT(('Matriz Criterios'!$H$15:$V$15="X")*ISNUMBER('Registro Notas'!$D18:$R18))=0, "-", SUMPRODUCT(('Matriz Criterios'!$H$15:$V$15="X")*ISNUMBER('Registro Notas'!$D18:$R18)*'Registro Notas'!$D18:$R18)/SUMPRODUCT(('Matriz Criterios'!$H$15:$V$15="X")*ISNUMBER('Registro Notas'!$D18:$R18)))</f>
        <v/>
      </c>
      <c r="M18" s="32">
        <f>IF(SUMPRODUCT(('Matriz Criterios'!$H$16:$V$16="X")*ISNUMBER('Registro Notas'!$D18:$R18))=0, "-", SUMPRODUCT(('Matriz Criterios'!$H$16:$V$16="X")*ISNUMBER('Registro Notas'!$D18:$R18)*'Registro Notas'!$D18:$R18)/SUMPRODUCT(('Matriz Criterios'!$H$16:$V$16="X")*ISNUMBER('Registro Notas'!$D18:$R18)))</f>
        <v/>
      </c>
      <c r="N18" s="32">
        <f>IF(SUMPRODUCT(('Matriz Criterios'!$H$17:$V$17="X")*ISNUMBER('Registro Notas'!$D18:$R18))=0, "-", SUMPRODUCT(('Matriz Criterios'!$H$17:$V$17="X")*ISNUMBER('Registro Notas'!$D18:$R18)*'Registro Notas'!$D18:$R18)/SUMPRODUCT(('Matriz Criterios'!$H$17:$V$17="X")*ISNUMBER('Registro Notas'!$D18:$R18)))</f>
        <v/>
      </c>
      <c r="O18" s="32">
        <f>IF(SUMPRODUCT(('Matriz Criterios'!$H$18:$V$18="X")*ISNUMBER('Registro Notas'!$D18:$R18))=0, "-", SUMPRODUCT(('Matriz Criterios'!$H$18:$V$18="X")*ISNUMBER('Registro Notas'!$D18:$R18)*'Registro Notas'!$D18:$R18)/SUMPRODUCT(('Matriz Criterios'!$H$18:$V$18="X")*ISNUMBER('Registro Notas'!$D18:$R18)))</f>
        <v/>
      </c>
      <c r="P18" s="32">
        <f>IF(SUMPRODUCT(('Matriz Criterios'!$H$19:$V$19="X")*ISNUMBER('Registro Notas'!$D18:$R18))=0, "-", SUMPRODUCT(('Matriz Criterios'!$H$19:$V$19="X")*ISNUMBER('Registro Notas'!$D18:$R18)*'Registro Notas'!$D18:$R18)/SUMPRODUCT(('Matriz Criterios'!$H$19:$V$19="X")*ISNUMBER('Registro Notas'!$D18:$R18)))</f>
        <v/>
      </c>
      <c r="Q18" s="32">
        <f>IF(SUMPRODUCT(('Matriz Criterios'!$H$20:$V$20="X")*ISNUMBER('Registro Notas'!$D18:$R18))=0, "-", SUMPRODUCT(('Matriz Criterios'!$H$20:$V$20="X")*ISNUMBER('Registro Notas'!$D18:$R18)*'Registro Notas'!$D18:$R18)/SUMPRODUCT(('Matriz Criterios'!$H$20:$V$20="X")*ISNUMBER('Registro Notas'!$D18:$R18)))</f>
        <v/>
      </c>
      <c r="R18" s="32">
        <f>IF(SUMPRODUCT(('Matriz Criterios'!$H$21:$V$21="X")*ISNUMBER('Registro Notas'!$D18:$R18))=0, "-", SUMPRODUCT(('Matriz Criterios'!$H$21:$V$21="X")*ISNUMBER('Registro Notas'!$D18:$R18)*'Registro Notas'!$D18:$R18)/SUMPRODUCT(('Matriz Criterios'!$H$21:$V$21="X")*ISNUMBER('Registro Notas'!$D18:$R18)))</f>
        <v/>
      </c>
      <c r="S18" s="32">
        <f>IF(SUMPRODUCT(('Matriz Criterios'!$H$22:$V$22="X")*ISNUMBER('Registro Notas'!$D18:$R18))=0, "-", SUMPRODUCT(('Matriz Criterios'!$H$22:$V$22="X")*ISNUMBER('Registro Notas'!$D18:$R18)*'Registro Notas'!$D18:$R18)/SUMPRODUCT(('Matriz Criterios'!$H$22:$V$22="X")*ISNUMBER('Registro Notas'!$D18:$R18)))</f>
        <v/>
      </c>
      <c r="T18" s="32">
        <f>IF(SUMPRODUCT(('Matriz Criterios'!$H$23:$V$23="X")*ISNUMBER('Registro Notas'!$D18:$R18))=0, "-", SUMPRODUCT(('Matriz Criterios'!$H$23:$V$23="X")*ISNUMBER('Registro Notas'!$D18:$R18)*'Registro Notas'!$D18:$R18)/SUMPRODUCT(('Matriz Criterios'!$H$23:$V$23="X")*ISNUMBER('Registro Notas'!$D18:$R18)))</f>
        <v/>
      </c>
      <c r="U18" s="32">
        <f>IF(SUMPRODUCT(('Matriz Criterios'!$H$24:$V$24="X")*ISNUMBER('Registro Notas'!$D18:$R18))=0, "-", SUMPRODUCT(('Matriz Criterios'!$H$24:$V$24="X")*ISNUMBER('Registro Notas'!$D18:$R18)*'Registro Notas'!$D18:$R18)/SUMPRODUCT(('Matriz Criterios'!$H$24:$V$24="X")*ISNUMBER('Registro Notas'!$D18:$R18)))</f>
        <v/>
      </c>
      <c r="V18" s="32">
        <f>IF(SUMPRODUCT(('Matriz Criterios'!$H$25:$V$25="X")*ISNUMBER('Registro Notas'!$D18:$R18))=0, "-", SUMPRODUCT(('Matriz Criterios'!$H$25:$V$25="X")*ISNUMBER('Registro Notas'!$D18:$R18)*'Registro Notas'!$D18:$R18)/SUMPRODUCT(('Matriz Criterios'!$H$25:$V$25="X")*ISNUMBER('Registro Notas'!$D18:$R18)))</f>
        <v/>
      </c>
      <c r="W18" s="32">
        <f>IF(SUMPRODUCT(('Matriz Criterios'!$H$26:$V$26="X")*ISNUMBER('Registro Notas'!$D18:$R18))=0, "-", SUMPRODUCT(('Matriz Criterios'!$H$26:$V$26="X")*ISNUMBER('Registro Notas'!$D18:$R18)*'Registro Notas'!$D18:$R18)/SUMPRODUCT(('Matriz Criterios'!$H$26:$V$26="X")*ISNUMBER('Registro Notas'!$D18:$R18)))</f>
        <v/>
      </c>
      <c r="X18" s="32">
        <f>IF(SUMPRODUCT(('Matriz Criterios'!$H$27:$V$27="X")*ISNUMBER('Registro Notas'!$D18:$R18))=0, "-", SUMPRODUCT(('Matriz Criterios'!$H$27:$V$27="X")*ISNUMBER('Registro Notas'!$D18:$R18)*'Registro Notas'!$D18:$R18)/SUMPRODUCT(('Matriz Criterios'!$H$27:$V$27="X")*ISNUMBER('Registro Notas'!$D18:$R18)))</f>
        <v/>
      </c>
      <c r="Y18" s="32">
        <f>IF(SUMPRODUCT(('Matriz Criterios'!$H$28:$V$28="X")*ISNUMBER('Registro Notas'!$D18:$R18))=0, "-", SUMPRODUCT(('Matriz Criterios'!$H$28:$V$28="X")*ISNUMBER('Registro Notas'!$D18:$R18)*'Registro Notas'!$D18:$R18)/SUMPRODUCT(('Matriz Criterios'!$H$28:$V$28="X")*ISNUMBER('Registro Notas'!$D18:$R18)))</f>
        <v/>
      </c>
      <c r="Z18" s="32">
        <f>IF(SUMPRODUCT(('Matriz Criterios'!$H$29:$V$29="X")*ISNUMBER('Registro Notas'!$D18:$R18))=0, "-", SUMPRODUCT(('Matriz Criterios'!$H$29:$V$29="X")*ISNUMBER('Registro Notas'!$D18:$R18)*'Registro Notas'!$D18:$R18)/SUMPRODUCT(('Matriz Criterios'!$H$29:$V$29="X")*ISNUMBER('Registro Notas'!$D18:$R18)))</f>
        <v/>
      </c>
      <c r="AA18" s="32">
        <f>IF(SUMPRODUCT(('Matriz Criterios'!$H$30:$V$30="X")*ISNUMBER('Registro Notas'!$D18:$R18))=0, "-", SUMPRODUCT(('Matriz Criterios'!$H$30:$V$30="X")*ISNUMBER('Registro Notas'!$D18:$R18)*'Registro Notas'!$D18:$R18)/SUMPRODUCT(('Matriz Criterios'!$H$30:$V$30="X")*ISNUMBER('Registro Notas'!$D18:$R18)))</f>
        <v/>
      </c>
      <c r="AB18" s="32">
        <f>IF(SUMPRODUCT(('Matriz Criterios'!$H$31:$V$31="X")*ISNUMBER('Registro Notas'!$D18:$R18))=0, "-", SUMPRODUCT(('Matriz Criterios'!$H$31:$V$31="X")*ISNUMBER('Registro Notas'!$D18:$R18)*'Registro Notas'!$D18:$R18)/SUMPRODUCT(('Matriz Criterios'!$H$31:$V$31="X")*ISNUMBER('Registro Notas'!$D18:$R18)))</f>
        <v/>
      </c>
      <c r="AC18" s="32">
        <f>IF(SUMPRODUCT(('Matriz Criterios'!$H$32:$V$32="X")*ISNUMBER('Registro Notas'!$D18:$R18))=0, "-", SUMPRODUCT(('Matriz Criterios'!$H$32:$V$32="X")*ISNUMBER('Registro Notas'!$D18:$R18)*'Registro Notas'!$D18:$R18)/SUMPRODUCT(('Matriz Criterios'!$H$32:$V$32="X")*ISNUMBER('Registro Notas'!$D18:$R18)))</f>
        <v/>
      </c>
      <c r="AD18" s="32">
        <f>IF(SUMPRODUCT(('Matriz Criterios'!$H$33:$V$33="X")*ISNUMBER('Registro Notas'!$D18:$R18))=0, "-", SUMPRODUCT(('Matriz Criterios'!$H$33:$V$33="X")*ISNUMBER('Registro Notas'!$D18:$R18)*'Registro Notas'!$D18:$R18)/SUMPRODUCT(('Matriz Criterios'!$H$33:$V$33="X")*ISNUMBER('Registro Notas'!$D18:$R18)))</f>
        <v/>
      </c>
      <c r="AE18" s="32">
        <f>IF(SUMPRODUCT(('Matriz Criterios'!$H$34:$V$34="X")*ISNUMBER('Registro Notas'!$D18:$R18))=0, "-", SUMPRODUCT(('Matriz Criterios'!$H$34:$V$34="X")*ISNUMBER('Registro Notas'!$D18:$R18)*'Registro Notas'!$D18:$R18)/SUMPRODUCT(('Matriz Criterios'!$H$34:$V$34="X")*ISNUMBER('Registro Notas'!$D18:$R18)))</f>
        <v/>
      </c>
      <c r="AF18" s="32">
        <f>IF(SUMPRODUCT(('Matriz Criterios'!$H$35:$V$35="X")*ISNUMBER('Registro Notas'!$D18:$R18))=0, "-", SUMPRODUCT(('Matriz Criterios'!$H$35:$V$35="X")*ISNUMBER('Registro Notas'!$D18:$R18)*'Registro Notas'!$D18:$R18)/SUMPRODUCT(('Matriz Criterios'!$H$35:$V$35="X")*ISNUMBER('Registro Notas'!$D18:$R18)))</f>
        <v/>
      </c>
      <c r="AG18" s="32">
        <f>IF(SUMPRODUCT(('Matriz Criterios'!$H$36:$V$36="X")*ISNUMBER('Registro Notas'!$D18:$R18))=0, "-", SUMPRODUCT(('Matriz Criterios'!$H$36:$V$36="X")*ISNUMBER('Registro Notas'!$D18:$R18)*'Registro Notas'!$D18:$R18)/SUMPRODUCT(('Matriz Criterios'!$H$36:$V$36="X")*ISNUMBER('Registro Notas'!$D18:$R18)))</f>
        <v/>
      </c>
      <c r="AH18" s="32">
        <f>IF(SUMPRODUCT(('Matriz Criterios'!$H$37:$V$37="X")*ISNUMBER('Registro Notas'!$D18:$R18))=0, "-", SUMPRODUCT(('Matriz Criterios'!$H$37:$V$37="X")*ISNUMBER('Registro Notas'!$D18:$R18)*'Registro Notas'!$D18:$R18)/SUMPRODUCT(('Matriz Criterios'!$H$37:$V$37="X")*ISNUMBER('Registro Notas'!$D18:$R18)))</f>
        <v/>
      </c>
      <c r="AI18" s="32">
        <f>IF(SUMPRODUCT(('Matriz Criterios'!$H$38:$V$38="X")*ISNUMBER('Registro Notas'!$D18:$R18))=0, "-", SUMPRODUCT(('Matriz Criterios'!$H$38:$V$38="X")*ISNUMBER('Registro Notas'!$D18:$R18)*'Registro Notas'!$D18:$R18)/SUMPRODUCT(('Matriz Criterios'!$H$38:$V$38="X")*ISNUMBER('Registro Notas'!$D18:$R18)))</f>
        <v/>
      </c>
      <c r="AJ18" s="32">
        <f>IF(SUMPRODUCT(('Matriz Criterios'!$H$39:$V$39="X")*ISNUMBER('Registro Notas'!$D18:$R18))=0, "-", SUMPRODUCT(('Matriz Criterios'!$H$39:$V$39="X")*ISNUMBER('Registro Notas'!$D18:$R18)*'Registro Notas'!$D18:$R18)/SUMPRODUCT(('Matriz Criterios'!$H$39:$V$39="X")*ISNUMBER('Registro Notas'!$D18:$R18)))</f>
        <v/>
      </c>
      <c r="AK18" s="32">
        <f>IF(SUMPRODUCT(('Matriz Criterios'!$H$40:$V$40="X")*ISNUMBER('Registro Notas'!$D18:$R18))=0, "-", SUMPRODUCT(('Matriz Criterios'!$H$40:$V$40="X")*ISNUMBER('Registro Notas'!$D18:$R18)*'Registro Notas'!$D18:$R18)/SUMPRODUCT(('Matriz Criterios'!$H$40:$V$40="X")*ISNUMBER('Registro Notas'!$D18:$R18)))</f>
        <v/>
      </c>
      <c r="AL18" s="32">
        <f>IF(SUMPRODUCT(('Matriz Criterios'!$H$41:$V$41="X")*ISNUMBER('Registro Notas'!$D18:$R18))=0, "-", SUMPRODUCT(('Matriz Criterios'!$H$41:$V$41="X")*ISNUMBER('Registro Notas'!$D18:$R18)*'Registro Notas'!$D18:$R18)/SUMPRODUCT(('Matriz Criterios'!$H$41:$V$41="X")*ISNUMBER('Registro Notas'!$D18:$R18)))</f>
        <v/>
      </c>
      <c r="AM18" s="32">
        <f>IF(SUMPRODUCT(('Matriz Criterios'!$H$42:$V$42="X")*ISNUMBER('Registro Notas'!$D18:$R18))=0, "-", SUMPRODUCT(('Matriz Criterios'!$H$42:$V$42="X")*ISNUMBER('Registro Notas'!$D18:$R18)*'Registro Notas'!$D18:$R18)/SUMPRODUCT(('Matriz Criterios'!$H$42:$V$42="X")*ISNUMBER('Registro Notas'!$D18:$R18)))</f>
        <v/>
      </c>
      <c r="AN18" s="32">
        <f>IF(SUMPRODUCT(('Matriz Criterios'!$H$43:$V$43="X")*ISNUMBER('Registro Notas'!$D18:$R18))=0, "-", SUMPRODUCT(('Matriz Criterios'!$H$43:$V$43="X")*ISNUMBER('Registro Notas'!$D18:$R18)*'Registro Notas'!$D18:$R18)/SUMPRODUCT(('Matriz Criterios'!$H$43:$V$43="X")*ISNUMBER('Registro Notas'!$D18:$R18)))</f>
        <v/>
      </c>
      <c r="AO18" s="32">
        <f>IF(SUMPRODUCT(('Matriz Criterios'!$H$44:$V$44="X")*ISNUMBER('Registro Notas'!$D18:$R18))=0, "-", SUMPRODUCT(('Matriz Criterios'!$H$44:$V$44="X")*ISNUMBER('Registro Notas'!$D18:$R18)*'Registro Notas'!$D18:$R18)/SUMPRODUCT(('Matriz Criterios'!$H$44:$V$44="X")*ISNUMBER('Registro Notas'!$D18:$R18)))</f>
        <v/>
      </c>
      <c r="AP18" s="32">
        <f>IF(SUMPRODUCT(('Matriz Criterios'!$H$45:$V$45="X")*ISNUMBER('Registro Notas'!$D18:$R18))=0, "-", SUMPRODUCT(('Matriz Criterios'!$H$45:$V$45="X")*ISNUMBER('Registro Notas'!$D18:$R18)*'Registro Notas'!$D18:$R18)/SUMPRODUCT(('Matriz Criterios'!$H$45:$V$45="X")*ISNUMBER('Registro Notas'!$D18:$R18)))</f>
        <v/>
      </c>
      <c r="AQ18" s="45">
        <f>AVERAGE(C18:AP18)</f>
        <v/>
      </c>
      <c r="AR18" s="46">
        <f>COUNTIF(C18:AP18, "&gt;=5")</f>
        <v/>
      </c>
    </row>
    <row r="19" ht="20" customHeight="1">
      <c r="A19" s="21" t="n">
        <v>14</v>
      </c>
      <c r="B19" s="35" t="inlineStr">
        <is>
          <t>Sánchez Vidal, Daniel</t>
        </is>
      </c>
      <c r="C19" s="36">
        <f>IF(SUMPRODUCT(('Matriz Criterios'!$H$6:$V$6="X")*ISNUMBER('Registro Notas'!$D19:$R19))=0, "-", SUMPRODUCT(('Matriz Criterios'!$H$6:$V$6="X")*ISNUMBER('Registro Notas'!$D19:$R19)*'Registro Notas'!$D19:$R19)/SUMPRODUCT(('Matriz Criterios'!$H$6:$V$6="X")*ISNUMBER('Registro Notas'!$D19:$R19)))</f>
        <v/>
      </c>
      <c r="D19" s="36">
        <f>IF(SUMPRODUCT(('Matriz Criterios'!$H$7:$V$7="X")*ISNUMBER('Registro Notas'!$D19:$R19))=0, "-", SUMPRODUCT(('Matriz Criterios'!$H$7:$V$7="X")*ISNUMBER('Registro Notas'!$D19:$R19)*'Registro Notas'!$D19:$R19)/SUMPRODUCT(('Matriz Criterios'!$H$7:$V$7="X")*ISNUMBER('Registro Notas'!$D19:$R19)))</f>
        <v/>
      </c>
      <c r="E19" s="36">
        <f>IF(SUMPRODUCT(('Matriz Criterios'!$H$8:$V$8="X")*ISNUMBER('Registro Notas'!$D19:$R19))=0, "-", SUMPRODUCT(('Matriz Criterios'!$H$8:$V$8="X")*ISNUMBER('Registro Notas'!$D19:$R19)*'Registro Notas'!$D19:$R19)/SUMPRODUCT(('Matriz Criterios'!$H$8:$V$8="X")*ISNUMBER('Registro Notas'!$D19:$R19)))</f>
        <v/>
      </c>
      <c r="F19" s="36">
        <f>IF(SUMPRODUCT(('Matriz Criterios'!$H$9:$V$9="X")*ISNUMBER('Registro Notas'!$D19:$R19))=0, "-", SUMPRODUCT(('Matriz Criterios'!$H$9:$V$9="X")*ISNUMBER('Registro Notas'!$D19:$R19)*'Registro Notas'!$D19:$R19)/SUMPRODUCT(('Matriz Criterios'!$H$9:$V$9="X")*ISNUMBER('Registro Notas'!$D19:$R19)))</f>
        <v/>
      </c>
      <c r="G19" s="36">
        <f>IF(SUMPRODUCT(('Matriz Criterios'!$H$10:$V$10="X")*ISNUMBER('Registro Notas'!$D19:$R19))=0, "-", SUMPRODUCT(('Matriz Criterios'!$H$10:$V$10="X")*ISNUMBER('Registro Notas'!$D19:$R19)*'Registro Notas'!$D19:$R19)/SUMPRODUCT(('Matriz Criterios'!$H$10:$V$10="X")*ISNUMBER('Registro Notas'!$D19:$R19)))</f>
        <v/>
      </c>
      <c r="H19" s="36">
        <f>IF(SUMPRODUCT(('Matriz Criterios'!$H$11:$V$11="X")*ISNUMBER('Registro Notas'!$D19:$R19))=0, "-", SUMPRODUCT(('Matriz Criterios'!$H$11:$V$11="X")*ISNUMBER('Registro Notas'!$D19:$R19)*'Registro Notas'!$D19:$R19)/SUMPRODUCT(('Matriz Criterios'!$H$11:$V$11="X")*ISNUMBER('Registro Notas'!$D19:$R19)))</f>
        <v/>
      </c>
      <c r="I19" s="36">
        <f>IF(SUMPRODUCT(('Matriz Criterios'!$H$12:$V$12="X")*ISNUMBER('Registro Notas'!$D19:$R19))=0, "-", SUMPRODUCT(('Matriz Criterios'!$H$12:$V$12="X")*ISNUMBER('Registro Notas'!$D19:$R19)*'Registro Notas'!$D19:$R19)/SUMPRODUCT(('Matriz Criterios'!$H$12:$V$12="X")*ISNUMBER('Registro Notas'!$D19:$R19)))</f>
        <v/>
      </c>
      <c r="J19" s="36">
        <f>IF(SUMPRODUCT(('Matriz Criterios'!$H$13:$V$13="X")*ISNUMBER('Registro Notas'!$D19:$R19))=0, "-", SUMPRODUCT(('Matriz Criterios'!$H$13:$V$13="X")*ISNUMBER('Registro Notas'!$D19:$R19)*'Registro Notas'!$D19:$R19)/SUMPRODUCT(('Matriz Criterios'!$H$13:$V$13="X")*ISNUMBER('Registro Notas'!$D19:$R19)))</f>
        <v/>
      </c>
      <c r="K19" s="36">
        <f>IF(SUMPRODUCT(('Matriz Criterios'!$H$14:$V$14="X")*ISNUMBER('Registro Notas'!$D19:$R19))=0, "-", SUMPRODUCT(('Matriz Criterios'!$H$14:$V$14="X")*ISNUMBER('Registro Notas'!$D19:$R19)*'Registro Notas'!$D19:$R19)/SUMPRODUCT(('Matriz Criterios'!$H$14:$V$14="X")*ISNUMBER('Registro Notas'!$D19:$R19)))</f>
        <v/>
      </c>
      <c r="L19" s="36">
        <f>IF(SUMPRODUCT(('Matriz Criterios'!$H$15:$V$15="X")*ISNUMBER('Registro Notas'!$D19:$R19))=0, "-", SUMPRODUCT(('Matriz Criterios'!$H$15:$V$15="X")*ISNUMBER('Registro Notas'!$D19:$R19)*'Registro Notas'!$D19:$R19)/SUMPRODUCT(('Matriz Criterios'!$H$15:$V$15="X")*ISNUMBER('Registro Notas'!$D19:$R19)))</f>
        <v/>
      </c>
      <c r="M19" s="36">
        <f>IF(SUMPRODUCT(('Matriz Criterios'!$H$16:$V$16="X")*ISNUMBER('Registro Notas'!$D19:$R19))=0, "-", SUMPRODUCT(('Matriz Criterios'!$H$16:$V$16="X")*ISNUMBER('Registro Notas'!$D19:$R19)*'Registro Notas'!$D19:$R19)/SUMPRODUCT(('Matriz Criterios'!$H$16:$V$16="X")*ISNUMBER('Registro Notas'!$D19:$R19)))</f>
        <v/>
      </c>
      <c r="N19" s="36">
        <f>IF(SUMPRODUCT(('Matriz Criterios'!$H$17:$V$17="X")*ISNUMBER('Registro Notas'!$D19:$R19))=0, "-", SUMPRODUCT(('Matriz Criterios'!$H$17:$V$17="X")*ISNUMBER('Registro Notas'!$D19:$R19)*'Registro Notas'!$D19:$R19)/SUMPRODUCT(('Matriz Criterios'!$H$17:$V$17="X")*ISNUMBER('Registro Notas'!$D19:$R19)))</f>
        <v/>
      </c>
      <c r="O19" s="36">
        <f>IF(SUMPRODUCT(('Matriz Criterios'!$H$18:$V$18="X")*ISNUMBER('Registro Notas'!$D19:$R19))=0, "-", SUMPRODUCT(('Matriz Criterios'!$H$18:$V$18="X")*ISNUMBER('Registro Notas'!$D19:$R19)*'Registro Notas'!$D19:$R19)/SUMPRODUCT(('Matriz Criterios'!$H$18:$V$18="X")*ISNUMBER('Registro Notas'!$D19:$R19)))</f>
        <v/>
      </c>
      <c r="P19" s="36">
        <f>IF(SUMPRODUCT(('Matriz Criterios'!$H$19:$V$19="X")*ISNUMBER('Registro Notas'!$D19:$R19))=0, "-", SUMPRODUCT(('Matriz Criterios'!$H$19:$V$19="X")*ISNUMBER('Registro Notas'!$D19:$R19)*'Registro Notas'!$D19:$R19)/SUMPRODUCT(('Matriz Criterios'!$H$19:$V$19="X")*ISNUMBER('Registro Notas'!$D19:$R19)))</f>
        <v/>
      </c>
      <c r="Q19" s="36">
        <f>IF(SUMPRODUCT(('Matriz Criterios'!$H$20:$V$20="X")*ISNUMBER('Registro Notas'!$D19:$R19))=0, "-", SUMPRODUCT(('Matriz Criterios'!$H$20:$V$20="X")*ISNUMBER('Registro Notas'!$D19:$R19)*'Registro Notas'!$D19:$R19)/SUMPRODUCT(('Matriz Criterios'!$H$20:$V$20="X")*ISNUMBER('Registro Notas'!$D19:$R19)))</f>
        <v/>
      </c>
      <c r="R19" s="36">
        <f>IF(SUMPRODUCT(('Matriz Criterios'!$H$21:$V$21="X")*ISNUMBER('Registro Notas'!$D19:$R19))=0, "-", SUMPRODUCT(('Matriz Criterios'!$H$21:$V$21="X")*ISNUMBER('Registro Notas'!$D19:$R19)*'Registro Notas'!$D19:$R19)/SUMPRODUCT(('Matriz Criterios'!$H$21:$V$21="X")*ISNUMBER('Registro Notas'!$D19:$R19)))</f>
        <v/>
      </c>
      <c r="S19" s="36">
        <f>IF(SUMPRODUCT(('Matriz Criterios'!$H$22:$V$22="X")*ISNUMBER('Registro Notas'!$D19:$R19))=0, "-", SUMPRODUCT(('Matriz Criterios'!$H$22:$V$22="X")*ISNUMBER('Registro Notas'!$D19:$R19)*'Registro Notas'!$D19:$R19)/SUMPRODUCT(('Matriz Criterios'!$H$22:$V$22="X")*ISNUMBER('Registro Notas'!$D19:$R19)))</f>
        <v/>
      </c>
      <c r="T19" s="36">
        <f>IF(SUMPRODUCT(('Matriz Criterios'!$H$23:$V$23="X")*ISNUMBER('Registro Notas'!$D19:$R19))=0, "-", SUMPRODUCT(('Matriz Criterios'!$H$23:$V$23="X")*ISNUMBER('Registro Notas'!$D19:$R19)*'Registro Notas'!$D19:$R19)/SUMPRODUCT(('Matriz Criterios'!$H$23:$V$23="X")*ISNUMBER('Registro Notas'!$D19:$R19)))</f>
        <v/>
      </c>
      <c r="U19" s="36">
        <f>IF(SUMPRODUCT(('Matriz Criterios'!$H$24:$V$24="X")*ISNUMBER('Registro Notas'!$D19:$R19))=0, "-", SUMPRODUCT(('Matriz Criterios'!$H$24:$V$24="X")*ISNUMBER('Registro Notas'!$D19:$R19)*'Registro Notas'!$D19:$R19)/SUMPRODUCT(('Matriz Criterios'!$H$24:$V$24="X")*ISNUMBER('Registro Notas'!$D19:$R19)))</f>
        <v/>
      </c>
      <c r="V19" s="36">
        <f>IF(SUMPRODUCT(('Matriz Criterios'!$H$25:$V$25="X")*ISNUMBER('Registro Notas'!$D19:$R19))=0, "-", SUMPRODUCT(('Matriz Criterios'!$H$25:$V$25="X")*ISNUMBER('Registro Notas'!$D19:$R19)*'Registro Notas'!$D19:$R19)/SUMPRODUCT(('Matriz Criterios'!$H$25:$V$25="X")*ISNUMBER('Registro Notas'!$D19:$R19)))</f>
        <v/>
      </c>
      <c r="W19" s="36">
        <f>IF(SUMPRODUCT(('Matriz Criterios'!$H$26:$V$26="X")*ISNUMBER('Registro Notas'!$D19:$R19))=0, "-", SUMPRODUCT(('Matriz Criterios'!$H$26:$V$26="X")*ISNUMBER('Registro Notas'!$D19:$R19)*'Registro Notas'!$D19:$R19)/SUMPRODUCT(('Matriz Criterios'!$H$26:$V$26="X")*ISNUMBER('Registro Notas'!$D19:$R19)))</f>
        <v/>
      </c>
      <c r="X19" s="36">
        <f>IF(SUMPRODUCT(('Matriz Criterios'!$H$27:$V$27="X")*ISNUMBER('Registro Notas'!$D19:$R19))=0, "-", SUMPRODUCT(('Matriz Criterios'!$H$27:$V$27="X")*ISNUMBER('Registro Notas'!$D19:$R19)*'Registro Notas'!$D19:$R19)/SUMPRODUCT(('Matriz Criterios'!$H$27:$V$27="X")*ISNUMBER('Registro Notas'!$D19:$R19)))</f>
        <v/>
      </c>
      <c r="Y19" s="36">
        <f>IF(SUMPRODUCT(('Matriz Criterios'!$H$28:$V$28="X")*ISNUMBER('Registro Notas'!$D19:$R19))=0, "-", SUMPRODUCT(('Matriz Criterios'!$H$28:$V$28="X")*ISNUMBER('Registro Notas'!$D19:$R19)*'Registro Notas'!$D19:$R19)/SUMPRODUCT(('Matriz Criterios'!$H$28:$V$28="X")*ISNUMBER('Registro Notas'!$D19:$R19)))</f>
        <v/>
      </c>
      <c r="Z19" s="36">
        <f>IF(SUMPRODUCT(('Matriz Criterios'!$H$29:$V$29="X")*ISNUMBER('Registro Notas'!$D19:$R19))=0, "-", SUMPRODUCT(('Matriz Criterios'!$H$29:$V$29="X")*ISNUMBER('Registro Notas'!$D19:$R19)*'Registro Notas'!$D19:$R19)/SUMPRODUCT(('Matriz Criterios'!$H$29:$V$29="X")*ISNUMBER('Registro Notas'!$D19:$R19)))</f>
        <v/>
      </c>
      <c r="AA19" s="36">
        <f>IF(SUMPRODUCT(('Matriz Criterios'!$H$30:$V$30="X")*ISNUMBER('Registro Notas'!$D19:$R19))=0, "-", SUMPRODUCT(('Matriz Criterios'!$H$30:$V$30="X")*ISNUMBER('Registro Notas'!$D19:$R19)*'Registro Notas'!$D19:$R19)/SUMPRODUCT(('Matriz Criterios'!$H$30:$V$30="X")*ISNUMBER('Registro Notas'!$D19:$R19)))</f>
        <v/>
      </c>
      <c r="AB19" s="36">
        <f>IF(SUMPRODUCT(('Matriz Criterios'!$H$31:$V$31="X")*ISNUMBER('Registro Notas'!$D19:$R19))=0, "-", SUMPRODUCT(('Matriz Criterios'!$H$31:$V$31="X")*ISNUMBER('Registro Notas'!$D19:$R19)*'Registro Notas'!$D19:$R19)/SUMPRODUCT(('Matriz Criterios'!$H$31:$V$31="X")*ISNUMBER('Registro Notas'!$D19:$R19)))</f>
        <v/>
      </c>
      <c r="AC19" s="36">
        <f>IF(SUMPRODUCT(('Matriz Criterios'!$H$32:$V$32="X")*ISNUMBER('Registro Notas'!$D19:$R19))=0, "-", SUMPRODUCT(('Matriz Criterios'!$H$32:$V$32="X")*ISNUMBER('Registro Notas'!$D19:$R19)*'Registro Notas'!$D19:$R19)/SUMPRODUCT(('Matriz Criterios'!$H$32:$V$32="X")*ISNUMBER('Registro Notas'!$D19:$R19)))</f>
        <v/>
      </c>
      <c r="AD19" s="36">
        <f>IF(SUMPRODUCT(('Matriz Criterios'!$H$33:$V$33="X")*ISNUMBER('Registro Notas'!$D19:$R19))=0, "-", SUMPRODUCT(('Matriz Criterios'!$H$33:$V$33="X")*ISNUMBER('Registro Notas'!$D19:$R19)*'Registro Notas'!$D19:$R19)/SUMPRODUCT(('Matriz Criterios'!$H$33:$V$33="X")*ISNUMBER('Registro Notas'!$D19:$R19)))</f>
        <v/>
      </c>
      <c r="AE19" s="36">
        <f>IF(SUMPRODUCT(('Matriz Criterios'!$H$34:$V$34="X")*ISNUMBER('Registro Notas'!$D19:$R19))=0, "-", SUMPRODUCT(('Matriz Criterios'!$H$34:$V$34="X")*ISNUMBER('Registro Notas'!$D19:$R19)*'Registro Notas'!$D19:$R19)/SUMPRODUCT(('Matriz Criterios'!$H$34:$V$34="X")*ISNUMBER('Registro Notas'!$D19:$R19)))</f>
        <v/>
      </c>
      <c r="AF19" s="36">
        <f>IF(SUMPRODUCT(('Matriz Criterios'!$H$35:$V$35="X")*ISNUMBER('Registro Notas'!$D19:$R19))=0, "-", SUMPRODUCT(('Matriz Criterios'!$H$35:$V$35="X")*ISNUMBER('Registro Notas'!$D19:$R19)*'Registro Notas'!$D19:$R19)/SUMPRODUCT(('Matriz Criterios'!$H$35:$V$35="X")*ISNUMBER('Registro Notas'!$D19:$R19)))</f>
        <v/>
      </c>
      <c r="AG19" s="36">
        <f>IF(SUMPRODUCT(('Matriz Criterios'!$H$36:$V$36="X")*ISNUMBER('Registro Notas'!$D19:$R19))=0, "-", SUMPRODUCT(('Matriz Criterios'!$H$36:$V$36="X")*ISNUMBER('Registro Notas'!$D19:$R19)*'Registro Notas'!$D19:$R19)/SUMPRODUCT(('Matriz Criterios'!$H$36:$V$36="X")*ISNUMBER('Registro Notas'!$D19:$R19)))</f>
        <v/>
      </c>
      <c r="AH19" s="36">
        <f>IF(SUMPRODUCT(('Matriz Criterios'!$H$37:$V$37="X")*ISNUMBER('Registro Notas'!$D19:$R19))=0, "-", SUMPRODUCT(('Matriz Criterios'!$H$37:$V$37="X")*ISNUMBER('Registro Notas'!$D19:$R19)*'Registro Notas'!$D19:$R19)/SUMPRODUCT(('Matriz Criterios'!$H$37:$V$37="X")*ISNUMBER('Registro Notas'!$D19:$R19)))</f>
        <v/>
      </c>
      <c r="AI19" s="36">
        <f>IF(SUMPRODUCT(('Matriz Criterios'!$H$38:$V$38="X")*ISNUMBER('Registro Notas'!$D19:$R19))=0, "-", SUMPRODUCT(('Matriz Criterios'!$H$38:$V$38="X")*ISNUMBER('Registro Notas'!$D19:$R19)*'Registro Notas'!$D19:$R19)/SUMPRODUCT(('Matriz Criterios'!$H$38:$V$38="X")*ISNUMBER('Registro Notas'!$D19:$R19)))</f>
        <v/>
      </c>
      <c r="AJ19" s="36">
        <f>IF(SUMPRODUCT(('Matriz Criterios'!$H$39:$V$39="X")*ISNUMBER('Registro Notas'!$D19:$R19))=0, "-", SUMPRODUCT(('Matriz Criterios'!$H$39:$V$39="X")*ISNUMBER('Registro Notas'!$D19:$R19)*'Registro Notas'!$D19:$R19)/SUMPRODUCT(('Matriz Criterios'!$H$39:$V$39="X")*ISNUMBER('Registro Notas'!$D19:$R19)))</f>
        <v/>
      </c>
      <c r="AK19" s="36">
        <f>IF(SUMPRODUCT(('Matriz Criterios'!$H$40:$V$40="X")*ISNUMBER('Registro Notas'!$D19:$R19))=0, "-", SUMPRODUCT(('Matriz Criterios'!$H$40:$V$40="X")*ISNUMBER('Registro Notas'!$D19:$R19)*'Registro Notas'!$D19:$R19)/SUMPRODUCT(('Matriz Criterios'!$H$40:$V$40="X")*ISNUMBER('Registro Notas'!$D19:$R19)))</f>
        <v/>
      </c>
      <c r="AL19" s="36">
        <f>IF(SUMPRODUCT(('Matriz Criterios'!$H$41:$V$41="X")*ISNUMBER('Registro Notas'!$D19:$R19))=0, "-", SUMPRODUCT(('Matriz Criterios'!$H$41:$V$41="X")*ISNUMBER('Registro Notas'!$D19:$R19)*'Registro Notas'!$D19:$R19)/SUMPRODUCT(('Matriz Criterios'!$H$41:$V$41="X")*ISNUMBER('Registro Notas'!$D19:$R19)))</f>
        <v/>
      </c>
      <c r="AM19" s="36">
        <f>IF(SUMPRODUCT(('Matriz Criterios'!$H$42:$V$42="X")*ISNUMBER('Registro Notas'!$D19:$R19))=0, "-", SUMPRODUCT(('Matriz Criterios'!$H$42:$V$42="X")*ISNUMBER('Registro Notas'!$D19:$R19)*'Registro Notas'!$D19:$R19)/SUMPRODUCT(('Matriz Criterios'!$H$42:$V$42="X")*ISNUMBER('Registro Notas'!$D19:$R19)))</f>
        <v/>
      </c>
      <c r="AN19" s="36">
        <f>IF(SUMPRODUCT(('Matriz Criterios'!$H$43:$V$43="X")*ISNUMBER('Registro Notas'!$D19:$R19))=0, "-", SUMPRODUCT(('Matriz Criterios'!$H$43:$V$43="X")*ISNUMBER('Registro Notas'!$D19:$R19)*'Registro Notas'!$D19:$R19)/SUMPRODUCT(('Matriz Criterios'!$H$43:$V$43="X")*ISNUMBER('Registro Notas'!$D19:$R19)))</f>
        <v/>
      </c>
      <c r="AO19" s="36">
        <f>IF(SUMPRODUCT(('Matriz Criterios'!$H$44:$V$44="X")*ISNUMBER('Registro Notas'!$D19:$R19))=0, "-", SUMPRODUCT(('Matriz Criterios'!$H$44:$V$44="X")*ISNUMBER('Registro Notas'!$D19:$R19)*'Registro Notas'!$D19:$R19)/SUMPRODUCT(('Matriz Criterios'!$H$44:$V$44="X")*ISNUMBER('Registro Notas'!$D19:$R19)))</f>
        <v/>
      </c>
      <c r="AP19" s="36">
        <f>IF(SUMPRODUCT(('Matriz Criterios'!$H$45:$V$45="X")*ISNUMBER('Registro Notas'!$D19:$R19))=0, "-", SUMPRODUCT(('Matriz Criterios'!$H$45:$V$45="X")*ISNUMBER('Registro Notas'!$D19:$R19)*'Registro Notas'!$D19:$R19)/SUMPRODUCT(('Matriz Criterios'!$H$45:$V$45="X")*ISNUMBER('Registro Notas'!$D19:$R19)))</f>
        <v/>
      </c>
      <c r="AQ19" s="45">
        <f>AVERAGE(C19:AP19)</f>
        <v/>
      </c>
      <c r="AR19" s="46">
        <f>COUNTIF(C19:AP19, "&gt;=5")</f>
        <v/>
      </c>
    </row>
    <row r="20" ht="20" customHeight="1">
      <c r="A20" s="13" t="n">
        <v>15</v>
      </c>
      <c r="B20" s="31" t="inlineStr">
        <is>
          <t>Torres Lozano, Irene</t>
        </is>
      </c>
      <c r="C20" s="32">
        <f>IF(SUMPRODUCT(('Matriz Criterios'!$H$6:$V$6="X")*ISNUMBER('Registro Notas'!$D20:$R20))=0, "-", SUMPRODUCT(('Matriz Criterios'!$H$6:$V$6="X")*ISNUMBER('Registro Notas'!$D20:$R20)*'Registro Notas'!$D20:$R20)/SUMPRODUCT(('Matriz Criterios'!$H$6:$V$6="X")*ISNUMBER('Registro Notas'!$D20:$R20)))</f>
        <v/>
      </c>
      <c r="D20" s="32">
        <f>IF(SUMPRODUCT(('Matriz Criterios'!$H$7:$V$7="X")*ISNUMBER('Registro Notas'!$D20:$R20))=0, "-", SUMPRODUCT(('Matriz Criterios'!$H$7:$V$7="X")*ISNUMBER('Registro Notas'!$D20:$R20)*'Registro Notas'!$D20:$R20)/SUMPRODUCT(('Matriz Criterios'!$H$7:$V$7="X")*ISNUMBER('Registro Notas'!$D20:$R20)))</f>
        <v/>
      </c>
      <c r="E20" s="32">
        <f>IF(SUMPRODUCT(('Matriz Criterios'!$H$8:$V$8="X")*ISNUMBER('Registro Notas'!$D20:$R20))=0, "-", SUMPRODUCT(('Matriz Criterios'!$H$8:$V$8="X")*ISNUMBER('Registro Notas'!$D20:$R20)*'Registro Notas'!$D20:$R20)/SUMPRODUCT(('Matriz Criterios'!$H$8:$V$8="X")*ISNUMBER('Registro Notas'!$D20:$R20)))</f>
        <v/>
      </c>
      <c r="F20" s="32">
        <f>IF(SUMPRODUCT(('Matriz Criterios'!$H$9:$V$9="X")*ISNUMBER('Registro Notas'!$D20:$R20))=0, "-", SUMPRODUCT(('Matriz Criterios'!$H$9:$V$9="X")*ISNUMBER('Registro Notas'!$D20:$R20)*'Registro Notas'!$D20:$R20)/SUMPRODUCT(('Matriz Criterios'!$H$9:$V$9="X")*ISNUMBER('Registro Notas'!$D20:$R20)))</f>
        <v/>
      </c>
      <c r="G20" s="32">
        <f>IF(SUMPRODUCT(('Matriz Criterios'!$H$10:$V$10="X")*ISNUMBER('Registro Notas'!$D20:$R20))=0, "-", SUMPRODUCT(('Matriz Criterios'!$H$10:$V$10="X")*ISNUMBER('Registro Notas'!$D20:$R20)*'Registro Notas'!$D20:$R20)/SUMPRODUCT(('Matriz Criterios'!$H$10:$V$10="X")*ISNUMBER('Registro Notas'!$D20:$R20)))</f>
        <v/>
      </c>
      <c r="H20" s="32">
        <f>IF(SUMPRODUCT(('Matriz Criterios'!$H$11:$V$11="X")*ISNUMBER('Registro Notas'!$D20:$R20))=0, "-", SUMPRODUCT(('Matriz Criterios'!$H$11:$V$11="X")*ISNUMBER('Registro Notas'!$D20:$R20)*'Registro Notas'!$D20:$R20)/SUMPRODUCT(('Matriz Criterios'!$H$11:$V$11="X")*ISNUMBER('Registro Notas'!$D20:$R20)))</f>
        <v/>
      </c>
      <c r="I20" s="32">
        <f>IF(SUMPRODUCT(('Matriz Criterios'!$H$12:$V$12="X")*ISNUMBER('Registro Notas'!$D20:$R20))=0, "-", SUMPRODUCT(('Matriz Criterios'!$H$12:$V$12="X")*ISNUMBER('Registro Notas'!$D20:$R20)*'Registro Notas'!$D20:$R20)/SUMPRODUCT(('Matriz Criterios'!$H$12:$V$12="X")*ISNUMBER('Registro Notas'!$D20:$R20)))</f>
        <v/>
      </c>
      <c r="J20" s="32">
        <f>IF(SUMPRODUCT(('Matriz Criterios'!$H$13:$V$13="X")*ISNUMBER('Registro Notas'!$D20:$R20))=0, "-", SUMPRODUCT(('Matriz Criterios'!$H$13:$V$13="X")*ISNUMBER('Registro Notas'!$D20:$R20)*'Registro Notas'!$D20:$R20)/SUMPRODUCT(('Matriz Criterios'!$H$13:$V$13="X")*ISNUMBER('Registro Notas'!$D20:$R20)))</f>
        <v/>
      </c>
      <c r="K20" s="32">
        <f>IF(SUMPRODUCT(('Matriz Criterios'!$H$14:$V$14="X")*ISNUMBER('Registro Notas'!$D20:$R20))=0, "-", SUMPRODUCT(('Matriz Criterios'!$H$14:$V$14="X")*ISNUMBER('Registro Notas'!$D20:$R20)*'Registro Notas'!$D20:$R20)/SUMPRODUCT(('Matriz Criterios'!$H$14:$V$14="X")*ISNUMBER('Registro Notas'!$D20:$R20)))</f>
        <v/>
      </c>
      <c r="L20" s="32">
        <f>IF(SUMPRODUCT(('Matriz Criterios'!$H$15:$V$15="X")*ISNUMBER('Registro Notas'!$D20:$R20))=0, "-", SUMPRODUCT(('Matriz Criterios'!$H$15:$V$15="X")*ISNUMBER('Registro Notas'!$D20:$R20)*'Registro Notas'!$D20:$R20)/SUMPRODUCT(('Matriz Criterios'!$H$15:$V$15="X")*ISNUMBER('Registro Notas'!$D20:$R20)))</f>
        <v/>
      </c>
      <c r="M20" s="32">
        <f>IF(SUMPRODUCT(('Matriz Criterios'!$H$16:$V$16="X")*ISNUMBER('Registro Notas'!$D20:$R20))=0, "-", SUMPRODUCT(('Matriz Criterios'!$H$16:$V$16="X")*ISNUMBER('Registro Notas'!$D20:$R20)*'Registro Notas'!$D20:$R20)/SUMPRODUCT(('Matriz Criterios'!$H$16:$V$16="X")*ISNUMBER('Registro Notas'!$D20:$R20)))</f>
        <v/>
      </c>
      <c r="N20" s="32">
        <f>IF(SUMPRODUCT(('Matriz Criterios'!$H$17:$V$17="X")*ISNUMBER('Registro Notas'!$D20:$R20))=0, "-", SUMPRODUCT(('Matriz Criterios'!$H$17:$V$17="X")*ISNUMBER('Registro Notas'!$D20:$R20)*'Registro Notas'!$D20:$R20)/SUMPRODUCT(('Matriz Criterios'!$H$17:$V$17="X")*ISNUMBER('Registro Notas'!$D20:$R20)))</f>
        <v/>
      </c>
      <c r="O20" s="32">
        <f>IF(SUMPRODUCT(('Matriz Criterios'!$H$18:$V$18="X")*ISNUMBER('Registro Notas'!$D20:$R20))=0, "-", SUMPRODUCT(('Matriz Criterios'!$H$18:$V$18="X")*ISNUMBER('Registro Notas'!$D20:$R20)*'Registro Notas'!$D20:$R20)/SUMPRODUCT(('Matriz Criterios'!$H$18:$V$18="X")*ISNUMBER('Registro Notas'!$D20:$R20)))</f>
        <v/>
      </c>
      <c r="P20" s="32">
        <f>IF(SUMPRODUCT(('Matriz Criterios'!$H$19:$V$19="X")*ISNUMBER('Registro Notas'!$D20:$R20))=0, "-", SUMPRODUCT(('Matriz Criterios'!$H$19:$V$19="X")*ISNUMBER('Registro Notas'!$D20:$R20)*'Registro Notas'!$D20:$R20)/SUMPRODUCT(('Matriz Criterios'!$H$19:$V$19="X")*ISNUMBER('Registro Notas'!$D20:$R20)))</f>
        <v/>
      </c>
      <c r="Q20" s="32">
        <f>IF(SUMPRODUCT(('Matriz Criterios'!$H$20:$V$20="X")*ISNUMBER('Registro Notas'!$D20:$R20))=0, "-", SUMPRODUCT(('Matriz Criterios'!$H$20:$V$20="X")*ISNUMBER('Registro Notas'!$D20:$R20)*'Registro Notas'!$D20:$R20)/SUMPRODUCT(('Matriz Criterios'!$H$20:$V$20="X")*ISNUMBER('Registro Notas'!$D20:$R20)))</f>
        <v/>
      </c>
      <c r="R20" s="32">
        <f>IF(SUMPRODUCT(('Matriz Criterios'!$H$21:$V$21="X")*ISNUMBER('Registro Notas'!$D20:$R20))=0, "-", SUMPRODUCT(('Matriz Criterios'!$H$21:$V$21="X")*ISNUMBER('Registro Notas'!$D20:$R20)*'Registro Notas'!$D20:$R20)/SUMPRODUCT(('Matriz Criterios'!$H$21:$V$21="X")*ISNUMBER('Registro Notas'!$D20:$R20)))</f>
        <v/>
      </c>
      <c r="S20" s="32">
        <f>IF(SUMPRODUCT(('Matriz Criterios'!$H$22:$V$22="X")*ISNUMBER('Registro Notas'!$D20:$R20))=0, "-", SUMPRODUCT(('Matriz Criterios'!$H$22:$V$22="X")*ISNUMBER('Registro Notas'!$D20:$R20)*'Registro Notas'!$D20:$R20)/SUMPRODUCT(('Matriz Criterios'!$H$22:$V$22="X")*ISNUMBER('Registro Notas'!$D20:$R20)))</f>
        <v/>
      </c>
      <c r="T20" s="32">
        <f>IF(SUMPRODUCT(('Matriz Criterios'!$H$23:$V$23="X")*ISNUMBER('Registro Notas'!$D20:$R20))=0, "-", SUMPRODUCT(('Matriz Criterios'!$H$23:$V$23="X")*ISNUMBER('Registro Notas'!$D20:$R20)*'Registro Notas'!$D20:$R20)/SUMPRODUCT(('Matriz Criterios'!$H$23:$V$23="X")*ISNUMBER('Registro Notas'!$D20:$R20)))</f>
        <v/>
      </c>
      <c r="U20" s="32">
        <f>IF(SUMPRODUCT(('Matriz Criterios'!$H$24:$V$24="X")*ISNUMBER('Registro Notas'!$D20:$R20))=0, "-", SUMPRODUCT(('Matriz Criterios'!$H$24:$V$24="X")*ISNUMBER('Registro Notas'!$D20:$R20)*'Registro Notas'!$D20:$R20)/SUMPRODUCT(('Matriz Criterios'!$H$24:$V$24="X")*ISNUMBER('Registro Notas'!$D20:$R20)))</f>
        <v/>
      </c>
      <c r="V20" s="32">
        <f>IF(SUMPRODUCT(('Matriz Criterios'!$H$25:$V$25="X")*ISNUMBER('Registro Notas'!$D20:$R20))=0, "-", SUMPRODUCT(('Matriz Criterios'!$H$25:$V$25="X")*ISNUMBER('Registro Notas'!$D20:$R20)*'Registro Notas'!$D20:$R20)/SUMPRODUCT(('Matriz Criterios'!$H$25:$V$25="X")*ISNUMBER('Registro Notas'!$D20:$R20)))</f>
        <v/>
      </c>
      <c r="W20" s="32">
        <f>IF(SUMPRODUCT(('Matriz Criterios'!$H$26:$V$26="X")*ISNUMBER('Registro Notas'!$D20:$R20))=0, "-", SUMPRODUCT(('Matriz Criterios'!$H$26:$V$26="X")*ISNUMBER('Registro Notas'!$D20:$R20)*'Registro Notas'!$D20:$R20)/SUMPRODUCT(('Matriz Criterios'!$H$26:$V$26="X")*ISNUMBER('Registro Notas'!$D20:$R20)))</f>
        <v/>
      </c>
      <c r="X20" s="32">
        <f>IF(SUMPRODUCT(('Matriz Criterios'!$H$27:$V$27="X")*ISNUMBER('Registro Notas'!$D20:$R20))=0, "-", SUMPRODUCT(('Matriz Criterios'!$H$27:$V$27="X")*ISNUMBER('Registro Notas'!$D20:$R20)*'Registro Notas'!$D20:$R20)/SUMPRODUCT(('Matriz Criterios'!$H$27:$V$27="X")*ISNUMBER('Registro Notas'!$D20:$R20)))</f>
        <v/>
      </c>
      <c r="Y20" s="32">
        <f>IF(SUMPRODUCT(('Matriz Criterios'!$H$28:$V$28="X")*ISNUMBER('Registro Notas'!$D20:$R20))=0, "-", SUMPRODUCT(('Matriz Criterios'!$H$28:$V$28="X")*ISNUMBER('Registro Notas'!$D20:$R20)*'Registro Notas'!$D20:$R20)/SUMPRODUCT(('Matriz Criterios'!$H$28:$V$28="X")*ISNUMBER('Registro Notas'!$D20:$R20)))</f>
        <v/>
      </c>
      <c r="Z20" s="32">
        <f>IF(SUMPRODUCT(('Matriz Criterios'!$H$29:$V$29="X")*ISNUMBER('Registro Notas'!$D20:$R20))=0, "-", SUMPRODUCT(('Matriz Criterios'!$H$29:$V$29="X")*ISNUMBER('Registro Notas'!$D20:$R20)*'Registro Notas'!$D20:$R20)/SUMPRODUCT(('Matriz Criterios'!$H$29:$V$29="X")*ISNUMBER('Registro Notas'!$D20:$R20)))</f>
        <v/>
      </c>
      <c r="AA20" s="32">
        <f>IF(SUMPRODUCT(('Matriz Criterios'!$H$30:$V$30="X")*ISNUMBER('Registro Notas'!$D20:$R20))=0, "-", SUMPRODUCT(('Matriz Criterios'!$H$30:$V$30="X")*ISNUMBER('Registro Notas'!$D20:$R20)*'Registro Notas'!$D20:$R20)/SUMPRODUCT(('Matriz Criterios'!$H$30:$V$30="X")*ISNUMBER('Registro Notas'!$D20:$R20)))</f>
        <v/>
      </c>
      <c r="AB20" s="32">
        <f>IF(SUMPRODUCT(('Matriz Criterios'!$H$31:$V$31="X")*ISNUMBER('Registro Notas'!$D20:$R20))=0, "-", SUMPRODUCT(('Matriz Criterios'!$H$31:$V$31="X")*ISNUMBER('Registro Notas'!$D20:$R20)*'Registro Notas'!$D20:$R20)/SUMPRODUCT(('Matriz Criterios'!$H$31:$V$31="X")*ISNUMBER('Registro Notas'!$D20:$R20)))</f>
        <v/>
      </c>
      <c r="AC20" s="32">
        <f>IF(SUMPRODUCT(('Matriz Criterios'!$H$32:$V$32="X")*ISNUMBER('Registro Notas'!$D20:$R20))=0, "-", SUMPRODUCT(('Matriz Criterios'!$H$32:$V$32="X")*ISNUMBER('Registro Notas'!$D20:$R20)*'Registro Notas'!$D20:$R20)/SUMPRODUCT(('Matriz Criterios'!$H$32:$V$32="X")*ISNUMBER('Registro Notas'!$D20:$R20)))</f>
        <v/>
      </c>
      <c r="AD20" s="32">
        <f>IF(SUMPRODUCT(('Matriz Criterios'!$H$33:$V$33="X")*ISNUMBER('Registro Notas'!$D20:$R20))=0, "-", SUMPRODUCT(('Matriz Criterios'!$H$33:$V$33="X")*ISNUMBER('Registro Notas'!$D20:$R20)*'Registro Notas'!$D20:$R20)/SUMPRODUCT(('Matriz Criterios'!$H$33:$V$33="X")*ISNUMBER('Registro Notas'!$D20:$R20)))</f>
        <v/>
      </c>
      <c r="AE20" s="32">
        <f>IF(SUMPRODUCT(('Matriz Criterios'!$H$34:$V$34="X")*ISNUMBER('Registro Notas'!$D20:$R20))=0, "-", SUMPRODUCT(('Matriz Criterios'!$H$34:$V$34="X")*ISNUMBER('Registro Notas'!$D20:$R20)*'Registro Notas'!$D20:$R20)/SUMPRODUCT(('Matriz Criterios'!$H$34:$V$34="X")*ISNUMBER('Registro Notas'!$D20:$R20)))</f>
        <v/>
      </c>
      <c r="AF20" s="32">
        <f>IF(SUMPRODUCT(('Matriz Criterios'!$H$35:$V$35="X")*ISNUMBER('Registro Notas'!$D20:$R20))=0, "-", SUMPRODUCT(('Matriz Criterios'!$H$35:$V$35="X")*ISNUMBER('Registro Notas'!$D20:$R20)*'Registro Notas'!$D20:$R20)/SUMPRODUCT(('Matriz Criterios'!$H$35:$V$35="X")*ISNUMBER('Registro Notas'!$D20:$R20)))</f>
        <v/>
      </c>
      <c r="AG20" s="32">
        <f>IF(SUMPRODUCT(('Matriz Criterios'!$H$36:$V$36="X")*ISNUMBER('Registro Notas'!$D20:$R20))=0, "-", SUMPRODUCT(('Matriz Criterios'!$H$36:$V$36="X")*ISNUMBER('Registro Notas'!$D20:$R20)*'Registro Notas'!$D20:$R20)/SUMPRODUCT(('Matriz Criterios'!$H$36:$V$36="X")*ISNUMBER('Registro Notas'!$D20:$R20)))</f>
        <v/>
      </c>
      <c r="AH20" s="32">
        <f>IF(SUMPRODUCT(('Matriz Criterios'!$H$37:$V$37="X")*ISNUMBER('Registro Notas'!$D20:$R20))=0, "-", SUMPRODUCT(('Matriz Criterios'!$H$37:$V$37="X")*ISNUMBER('Registro Notas'!$D20:$R20)*'Registro Notas'!$D20:$R20)/SUMPRODUCT(('Matriz Criterios'!$H$37:$V$37="X")*ISNUMBER('Registro Notas'!$D20:$R20)))</f>
        <v/>
      </c>
      <c r="AI20" s="32">
        <f>IF(SUMPRODUCT(('Matriz Criterios'!$H$38:$V$38="X")*ISNUMBER('Registro Notas'!$D20:$R20))=0, "-", SUMPRODUCT(('Matriz Criterios'!$H$38:$V$38="X")*ISNUMBER('Registro Notas'!$D20:$R20)*'Registro Notas'!$D20:$R20)/SUMPRODUCT(('Matriz Criterios'!$H$38:$V$38="X")*ISNUMBER('Registro Notas'!$D20:$R20)))</f>
        <v/>
      </c>
      <c r="AJ20" s="32">
        <f>IF(SUMPRODUCT(('Matriz Criterios'!$H$39:$V$39="X")*ISNUMBER('Registro Notas'!$D20:$R20))=0, "-", SUMPRODUCT(('Matriz Criterios'!$H$39:$V$39="X")*ISNUMBER('Registro Notas'!$D20:$R20)*'Registro Notas'!$D20:$R20)/SUMPRODUCT(('Matriz Criterios'!$H$39:$V$39="X")*ISNUMBER('Registro Notas'!$D20:$R20)))</f>
        <v/>
      </c>
      <c r="AK20" s="32">
        <f>IF(SUMPRODUCT(('Matriz Criterios'!$H$40:$V$40="X")*ISNUMBER('Registro Notas'!$D20:$R20))=0, "-", SUMPRODUCT(('Matriz Criterios'!$H$40:$V$40="X")*ISNUMBER('Registro Notas'!$D20:$R20)*'Registro Notas'!$D20:$R20)/SUMPRODUCT(('Matriz Criterios'!$H$40:$V$40="X")*ISNUMBER('Registro Notas'!$D20:$R20)))</f>
        <v/>
      </c>
      <c r="AL20" s="32">
        <f>IF(SUMPRODUCT(('Matriz Criterios'!$H$41:$V$41="X")*ISNUMBER('Registro Notas'!$D20:$R20))=0, "-", SUMPRODUCT(('Matriz Criterios'!$H$41:$V$41="X")*ISNUMBER('Registro Notas'!$D20:$R20)*'Registro Notas'!$D20:$R20)/SUMPRODUCT(('Matriz Criterios'!$H$41:$V$41="X")*ISNUMBER('Registro Notas'!$D20:$R20)))</f>
        <v/>
      </c>
      <c r="AM20" s="32">
        <f>IF(SUMPRODUCT(('Matriz Criterios'!$H$42:$V$42="X")*ISNUMBER('Registro Notas'!$D20:$R20))=0, "-", SUMPRODUCT(('Matriz Criterios'!$H$42:$V$42="X")*ISNUMBER('Registro Notas'!$D20:$R20)*'Registro Notas'!$D20:$R20)/SUMPRODUCT(('Matriz Criterios'!$H$42:$V$42="X")*ISNUMBER('Registro Notas'!$D20:$R20)))</f>
        <v/>
      </c>
      <c r="AN20" s="32">
        <f>IF(SUMPRODUCT(('Matriz Criterios'!$H$43:$V$43="X")*ISNUMBER('Registro Notas'!$D20:$R20))=0, "-", SUMPRODUCT(('Matriz Criterios'!$H$43:$V$43="X")*ISNUMBER('Registro Notas'!$D20:$R20)*'Registro Notas'!$D20:$R20)/SUMPRODUCT(('Matriz Criterios'!$H$43:$V$43="X")*ISNUMBER('Registro Notas'!$D20:$R20)))</f>
        <v/>
      </c>
      <c r="AO20" s="32">
        <f>IF(SUMPRODUCT(('Matriz Criterios'!$H$44:$V$44="X")*ISNUMBER('Registro Notas'!$D20:$R20))=0, "-", SUMPRODUCT(('Matriz Criterios'!$H$44:$V$44="X")*ISNUMBER('Registro Notas'!$D20:$R20)*'Registro Notas'!$D20:$R20)/SUMPRODUCT(('Matriz Criterios'!$H$44:$V$44="X")*ISNUMBER('Registro Notas'!$D20:$R20)))</f>
        <v/>
      </c>
      <c r="AP20" s="32">
        <f>IF(SUMPRODUCT(('Matriz Criterios'!$H$45:$V$45="X")*ISNUMBER('Registro Notas'!$D20:$R20))=0, "-", SUMPRODUCT(('Matriz Criterios'!$H$45:$V$45="X")*ISNUMBER('Registro Notas'!$D20:$R20)*'Registro Notas'!$D20:$R20)/SUMPRODUCT(('Matriz Criterios'!$H$45:$V$45="X")*ISNUMBER('Registro Notas'!$D20:$R20)))</f>
        <v/>
      </c>
      <c r="AQ20" s="45">
        <f>AVERAGE(C20:AP20)</f>
        <v/>
      </c>
      <c r="AR20" s="46">
        <f>COUNTIF(C20:AP20, "&gt;=5")</f>
        <v/>
      </c>
    </row>
    <row r="21" ht="24" customHeight="1">
      <c r="A21" s="37" t="inlineStr">
        <is>
          <t>PROMEDIO DEL GRUPO</t>
        </is>
      </c>
      <c r="B21" s="28" t="n"/>
      <c r="C21" s="38">
        <f>AVERAGE(C6:C20)</f>
        <v/>
      </c>
      <c r="D21" s="38">
        <f>AVERAGE(D6:D20)</f>
        <v/>
      </c>
      <c r="E21" s="38">
        <f>AVERAGE(E6:E20)</f>
        <v/>
      </c>
      <c r="F21" s="38">
        <f>AVERAGE(F6:F20)</f>
        <v/>
      </c>
      <c r="G21" s="38">
        <f>AVERAGE(G6:G20)</f>
        <v/>
      </c>
      <c r="H21" s="38">
        <f>AVERAGE(H6:H20)</f>
        <v/>
      </c>
      <c r="I21" s="38">
        <f>AVERAGE(I6:I20)</f>
        <v/>
      </c>
      <c r="J21" s="38">
        <f>AVERAGE(J6:J20)</f>
        <v/>
      </c>
      <c r="K21" s="38">
        <f>AVERAGE(K6:K20)</f>
        <v/>
      </c>
      <c r="L21" s="38">
        <f>AVERAGE(L6:L20)</f>
        <v/>
      </c>
      <c r="M21" s="38">
        <f>AVERAGE(M6:M20)</f>
        <v/>
      </c>
      <c r="N21" s="38">
        <f>AVERAGE(N6:N20)</f>
        <v/>
      </c>
      <c r="O21" s="38">
        <f>AVERAGE(O6:O20)</f>
        <v/>
      </c>
      <c r="P21" s="38">
        <f>AVERAGE(P6:P20)</f>
        <v/>
      </c>
      <c r="Q21" s="38">
        <f>AVERAGE(Q6:Q20)</f>
        <v/>
      </c>
      <c r="R21" s="38">
        <f>AVERAGE(R6:R20)</f>
        <v/>
      </c>
      <c r="S21" s="38">
        <f>AVERAGE(S6:S20)</f>
        <v/>
      </c>
      <c r="T21" s="38">
        <f>AVERAGE(T6:T20)</f>
        <v/>
      </c>
      <c r="U21" s="38">
        <f>AVERAGE(U6:U20)</f>
        <v/>
      </c>
      <c r="V21" s="38">
        <f>AVERAGE(V6:V20)</f>
        <v/>
      </c>
      <c r="W21" s="38">
        <f>AVERAGE(W6:W20)</f>
        <v/>
      </c>
      <c r="X21" s="38">
        <f>AVERAGE(X6:X20)</f>
        <v/>
      </c>
      <c r="Y21" s="38">
        <f>AVERAGE(Y6:Y20)</f>
        <v/>
      </c>
      <c r="Z21" s="38">
        <f>AVERAGE(Z6:Z20)</f>
        <v/>
      </c>
      <c r="AA21" s="38">
        <f>AVERAGE(AA6:AA20)</f>
        <v/>
      </c>
      <c r="AB21" s="38">
        <f>AVERAGE(AB6:AB20)</f>
        <v/>
      </c>
      <c r="AC21" s="38">
        <f>AVERAGE(AC6:AC20)</f>
        <v/>
      </c>
      <c r="AD21" s="38">
        <f>AVERAGE(AD6:AD20)</f>
        <v/>
      </c>
      <c r="AE21" s="38">
        <f>AVERAGE(AE6:AE20)</f>
        <v/>
      </c>
      <c r="AF21" s="38">
        <f>AVERAGE(AF6:AF20)</f>
        <v/>
      </c>
      <c r="AG21" s="38">
        <f>AVERAGE(AG6:AG20)</f>
        <v/>
      </c>
      <c r="AH21" s="38">
        <f>AVERAGE(AH6:AH20)</f>
        <v/>
      </c>
      <c r="AI21" s="38">
        <f>AVERAGE(AI6:AI20)</f>
        <v/>
      </c>
      <c r="AJ21" s="38">
        <f>AVERAGE(AJ6:AJ20)</f>
        <v/>
      </c>
      <c r="AK21" s="38">
        <f>AVERAGE(AK6:AK20)</f>
        <v/>
      </c>
      <c r="AL21" s="38">
        <f>AVERAGE(AL6:AL20)</f>
        <v/>
      </c>
      <c r="AM21" s="38">
        <f>AVERAGE(AM6:AM20)</f>
        <v/>
      </c>
      <c r="AN21" s="38">
        <f>AVERAGE(AN6:AN20)</f>
        <v/>
      </c>
      <c r="AO21" s="38">
        <f>AVERAGE(AO6:AO20)</f>
        <v/>
      </c>
      <c r="AP21" s="38">
        <f>AVERAGE(AP6:AP20)</f>
        <v/>
      </c>
      <c r="AQ21" s="38">
        <f>AVERAGE(AQ6:AQ20)</f>
        <v/>
      </c>
      <c r="AR21" s="38">
        <f>AVERAGE(AR6:AR20)</f>
        <v/>
      </c>
    </row>
  </sheetData>
  <mergeCells count="13">
    <mergeCell ref="A4:B4"/>
    <mergeCell ref="I4:M4"/>
    <mergeCell ref="A21:B21"/>
    <mergeCell ref="AG4:AK4"/>
    <mergeCell ref="A2:AR2"/>
    <mergeCell ref="AL4:AP4"/>
    <mergeCell ref="Y4:AB4"/>
    <mergeCell ref="AC4:AF4"/>
    <mergeCell ref="A1:AR1"/>
    <mergeCell ref="C4:H4"/>
    <mergeCell ref="N4:S4"/>
    <mergeCell ref="T4:X4"/>
    <mergeCell ref="AQ4:AR4"/>
  </mergeCells>
  <conditionalFormatting sqref="C6:AP20">
    <cfRule type="cellIs" priority="1" operator="greaterThanOrEqual" dxfId="0" stopIfTrue="1">
      <formula>5.0</formula>
    </cfRule>
    <cfRule type="cellIs" priority="2" operator="lessThan" dxfId="1" stopIfTrue="1">
      <formula>5.0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8" customWidth="1" min="11" max="11"/>
  </cols>
  <sheetData>
    <row r="1" ht="36" customHeight="1">
      <c r="A1" s="1" t="inlineStr">
        <is>
          <t>CALIFICACIÓN POR RESULTADOS DE APRENDIZAJE (RA1 a RA8) — PONDERACIÓN OFICIAL</t>
        </is>
      </c>
    </row>
    <row r="2" ht="20" customHeight="1">
      <c r="A2" s="2" t="inlineStr">
        <is>
          <t>Cada Resultado de Aprendizaje se obtiene promediando sus Criterios de Evaluación evaluados. La Nota Final aplica los pesos oficiales del título en Andalucía.</t>
        </is>
      </c>
    </row>
    <row r="4" ht="42" customHeight="1">
      <c r="A4" s="29" t="inlineStr">
        <is>
          <t>Nº</t>
        </is>
      </c>
      <c r="B4" s="29" t="inlineStr">
        <is>
          <t>Apellidos, Nombre</t>
        </is>
      </c>
      <c r="C4" s="8" t="inlineStr">
        <is>
          <t>RA1 (22%)
Interfaces Gráficas
UX &amp; Layouts</t>
        </is>
      </c>
      <c r="D4" s="8" t="inlineStr">
        <is>
          <t>RA2 (16%)
Interfaces NUI
Voz &amp; Gestos</t>
        </is>
      </c>
      <c r="E4" s="8" t="inlineStr">
        <is>
          <t>RA3 (20%)
Componentes
Angular Standalone</t>
        </is>
      </c>
      <c r="F4" s="8" t="inlineStr">
        <is>
          <t>RA4 (11%)
Accesibilidad
Universal WCAG</t>
        </is>
      </c>
      <c r="G4" s="8" t="inlineStr">
        <is>
          <t>RA5 (4%)
Informes PDF
y Dashboards</t>
        </is>
      </c>
      <c r="H4" s="8" t="inlineStr">
        <is>
          <t>RA6 (7%)
Documentación
y Storybook</t>
        </is>
      </c>
      <c r="I4" s="8" t="inlineStr">
        <is>
          <t>RA7 (10%)
Escritorio Electron
y Empaquetado</t>
        </is>
      </c>
      <c r="J4" s="8" t="inlineStr">
        <is>
          <t>RA8 (10%)
Pruebas Vitest
y Playwright E2E</t>
        </is>
      </c>
      <c r="K4" s="43" t="inlineStr">
        <is>
          <t>CALIFICACIÓN FINAL
ORDINARIA (100%)</t>
        </is>
      </c>
    </row>
    <row r="6" ht="20" customHeight="1">
      <c r="A6" s="13" t="n">
        <v>1</v>
      </c>
      <c r="B6" s="31" t="inlineStr">
        <is>
          <t>Álvarez Gómez, Laura</t>
        </is>
      </c>
      <c r="C6" s="32">
        <f>AVERAGE('Calculo CEs'!C6:H6)</f>
        <v/>
      </c>
      <c r="D6" s="32">
        <f>AVERAGE('Calculo CEs'!I6:M6)</f>
        <v/>
      </c>
      <c r="E6" s="32">
        <f>AVERAGE('Calculo CEs'!N6:S6)</f>
        <v/>
      </c>
      <c r="F6" s="32">
        <f>AVERAGE('Calculo CEs'!T6:X6)</f>
        <v/>
      </c>
      <c r="G6" s="32">
        <f>AVERAGE('Calculo CEs'!Y6:AB6)</f>
        <v/>
      </c>
      <c r="H6" s="32">
        <f>AVERAGE('Calculo CEs'!AC6:AF6)</f>
        <v/>
      </c>
      <c r="I6" s="32">
        <f>AVERAGE('Calculo CEs'!AG6:AK6)</f>
        <v/>
      </c>
      <c r="J6" s="32">
        <f>AVERAGE('Calculo CEs'!AL6:AP6)</f>
        <v/>
      </c>
      <c r="K6" s="47">
        <f>C6*0.22 + D6*0.16 + E6*0.20 + F6*0.11 + G6*0.04 + H6*0.07 + I6*0.10 + J6*0.10</f>
        <v/>
      </c>
    </row>
    <row r="7" ht="20" customHeight="1">
      <c r="A7" s="21" t="n">
        <v>2</v>
      </c>
      <c r="B7" s="35" t="inlineStr">
        <is>
          <t>Benítez Romero, Carlos</t>
        </is>
      </c>
      <c r="C7" s="36">
        <f>AVERAGE('Calculo CEs'!C7:H7)</f>
        <v/>
      </c>
      <c r="D7" s="36">
        <f>AVERAGE('Calculo CEs'!I7:M7)</f>
        <v/>
      </c>
      <c r="E7" s="36">
        <f>AVERAGE('Calculo CEs'!N7:S7)</f>
        <v/>
      </c>
      <c r="F7" s="36">
        <f>AVERAGE('Calculo CEs'!T7:X7)</f>
        <v/>
      </c>
      <c r="G7" s="36">
        <f>AVERAGE('Calculo CEs'!Y7:AB7)</f>
        <v/>
      </c>
      <c r="H7" s="36">
        <f>AVERAGE('Calculo CEs'!AC7:AF7)</f>
        <v/>
      </c>
      <c r="I7" s="36">
        <f>AVERAGE('Calculo CEs'!AG7:AK7)</f>
        <v/>
      </c>
      <c r="J7" s="36">
        <f>AVERAGE('Calculo CEs'!AL7:AP7)</f>
        <v/>
      </c>
      <c r="K7" s="47">
        <f>C7*0.22 + D7*0.16 + E7*0.20 + F7*0.11 + G7*0.04 + H7*0.07 + I7*0.10 + J7*0.10</f>
        <v/>
      </c>
    </row>
    <row r="8" ht="20" customHeight="1">
      <c r="A8" s="13" t="n">
        <v>3</v>
      </c>
      <c r="B8" s="31" t="inlineStr">
        <is>
          <t>Castillo Morales, Elena</t>
        </is>
      </c>
      <c r="C8" s="32">
        <f>AVERAGE('Calculo CEs'!C8:H8)</f>
        <v/>
      </c>
      <c r="D8" s="32">
        <f>AVERAGE('Calculo CEs'!I8:M8)</f>
        <v/>
      </c>
      <c r="E8" s="32">
        <f>AVERAGE('Calculo CEs'!N8:S8)</f>
        <v/>
      </c>
      <c r="F8" s="32">
        <f>AVERAGE('Calculo CEs'!T8:X8)</f>
        <v/>
      </c>
      <c r="G8" s="32">
        <f>AVERAGE('Calculo CEs'!Y8:AB8)</f>
        <v/>
      </c>
      <c r="H8" s="32">
        <f>AVERAGE('Calculo CEs'!AC8:AF8)</f>
        <v/>
      </c>
      <c r="I8" s="32">
        <f>AVERAGE('Calculo CEs'!AG8:AK8)</f>
        <v/>
      </c>
      <c r="J8" s="32">
        <f>AVERAGE('Calculo CEs'!AL8:AP8)</f>
        <v/>
      </c>
      <c r="K8" s="47">
        <f>C8*0.22 + D8*0.16 + E8*0.20 + F8*0.11 + G8*0.04 + H8*0.07 + I8*0.10 + J8*0.10</f>
        <v/>
      </c>
    </row>
    <row r="9" ht="20" customHeight="1">
      <c r="A9" s="21" t="n">
        <v>4</v>
      </c>
      <c r="B9" s="35" t="inlineStr">
        <is>
          <t>Delgado Santos, Alejandro</t>
        </is>
      </c>
      <c r="C9" s="36">
        <f>AVERAGE('Calculo CEs'!C9:H9)</f>
        <v/>
      </c>
      <c r="D9" s="36">
        <f>AVERAGE('Calculo CEs'!I9:M9)</f>
        <v/>
      </c>
      <c r="E9" s="36">
        <f>AVERAGE('Calculo CEs'!N9:S9)</f>
        <v/>
      </c>
      <c r="F9" s="36">
        <f>AVERAGE('Calculo CEs'!T9:X9)</f>
        <v/>
      </c>
      <c r="G9" s="36">
        <f>AVERAGE('Calculo CEs'!Y9:AB9)</f>
        <v/>
      </c>
      <c r="H9" s="36">
        <f>AVERAGE('Calculo CEs'!AC9:AF9)</f>
        <v/>
      </c>
      <c r="I9" s="36">
        <f>AVERAGE('Calculo CEs'!AG9:AK9)</f>
        <v/>
      </c>
      <c r="J9" s="36">
        <f>AVERAGE('Calculo CEs'!AL9:AP9)</f>
        <v/>
      </c>
      <c r="K9" s="47">
        <f>C9*0.22 + D9*0.16 + E9*0.20 + F9*0.11 + G9*0.04 + H9*0.07 + I9*0.10 + J9*0.10</f>
        <v/>
      </c>
    </row>
    <row r="10" ht="20" customHeight="1">
      <c r="A10" s="13" t="n">
        <v>5</v>
      </c>
      <c r="B10" s="31" t="inlineStr">
        <is>
          <t>Fernández Navarro, Lucía</t>
        </is>
      </c>
      <c r="C10" s="32">
        <f>AVERAGE('Calculo CEs'!C10:H10)</f>
        <v/>
      </c>
      <c r="D10" s="32">
        <f>AVERAGE('Calculo CEs'!I10:M10)</f>
        <v/>
      </c>
      <c r="E10" s="32">
        <f>AVERAGE('Calculo CEs'!N10:S10)</f>
        <v/>
      </c>
      <c r="F10" s="32">
        <f>AVERAGE('Calculo CEs'!T10:X10)</f>
        <v/>
      </c>
      <c r="G10" s="32">
        <f>AVERAGE('Calculo CEs'!Y10:AB10)</f>
        <v/>
      </c>
      <c r="H10" s="32">
        <f>AVERAGE('Calculo CEs'!AC10:AF10)</f>
        <v/>
      </c>
      <c r="I10" s="32">
        <f>AVERAGE('Calculo CEs'!AG10:AK10)</f>
        <v/>
      </c>
      <c r="J10" s="32">
        <f>AVERAGE('Calculo CEs'!AL10:AP10)</f>
        <v/>
      </c>
      <c r="K10" s="47">
        <f>C10*0.22 + D10*0.16 + E10*0.20 + F10*0.11 + G10*0.04 + H10*0.07 + I10*0.10 + J10*0.10</f>
        <v/>
      </c>
    </row>
    <row r="11" ht="20" customHeight="1">
      <c r="A11" s="21" t="n">
        <v>6</v>
      </c>
      <c r="B11" s="35" t="inlineStr">
        <is>
          <t>García Serrano, David</t>
        </is>
      </c>
      <c r="C11" s="36">
        <f>AVERAGE('Calculo CEs'!C11:H11)</f>
        <v/>
      </c>
      <c r="D11" s="36">
        <f>AVERAGE('Calculo CEs'!I11:M11)</f>
        <v/>
      </c>
      <c r="E11" s="36">
        <f>AVERAGE('Calculo CEs'!N11:S11)</f>
        <v/>
      </c>
      <c r="F11" s="36">
        <f>AVERAGE('Calculo CEs'!T11:X11)</f>
        <v/>
      </c>
      <c r="G11" s="36">
        <f>AVERAGE('Calculo CEs'!Y11:AB11)</f>
        <v/>
      </c>
      <c r="H11" s="36">
        <f>AVERAGE('Calculo CEs'!AC11:AF11)</f>
        <v/>
      </c>
      <c r="I11" s="36">
        <f>AVERAGE('Calculo CEs'!AG11:AK11)</f>
        <v/>
      </c>
      <c r="J11" s="36">
        <f>AVERAGE('Calculo CEs'!AL11:AP11)</f>
        <v/>
      </c>
      <c r="K11" s="47">
        <f>C11*0.22 + D11*0.16 + E11*0.20 + F11*0.11 + G11*0.04 + H11*0.07 + I11*0.10 + J11*0.10</f>
        <v/>
      </c>
    </row>
    <row r="12" ht="20" customHeight="1">
      <c r="A12" s="13" t="n">
        <v>7</v>
      </c>
      <c r="B12" s="31" t="inlineStr">
        <is>
          <t>Herrera Cruz, Marta</t>
        </is>
      </c>
      <c r="C12" s="32">
        <f>AVERAGE('Calculo CEs'!C12:H12)</f>
        <v/>
      </c>
      <c r="D12" s="32">
        <f>AVERAGE('Calculo CEs'!I12:M12)</f>
        <v/>
      </c>
      <c r="E12" s="32">
        <f>AVERAGE('Calculo CEs'!N12:S12)</f>
        <v/>
      </c>
      <c r="F12" s="32">
        <f>AVERAGE('Calculo CEs'!T12:X12)</f>
        <v/>
      </c>
      <c r="G12" s="32">
        <f>AVERAGE('Calculo CEs'!Y12:AB12)</f>
        <v/>
      </c>
      <c r="H12" s="32">
        <f>AVERAGE('Calculo CEs'!AC12:AF12)</f>
        <v/>
      </c>
      <c r="I12" s="32">
        <f>AVERAGE('Calculo CEs'!AG12:AK12)</f>
        <v/>
      </c>
      <c r="J12" s="32">
        <f>AVERAGE('Calculo CEs'!AL12:AP12)</f>
        <v/>
      </c>
      <c r="K12" s="47">
        <f>C12*0.22 + D12*0.16 + E12*0.20 + F12*0.11 + G12*0.04 + H12*0.07 + I12*0.10 + J12*0.10</f>
        <v/>
      </c>
    </row>
    <row r="13" ht="20" customHeight="1">
      <c r="A13" s="21" t="n">
        <v>8</v>
      </c>
      <c r="B13" s="35" t="inlineStr">
        <is>
          <t>Jiménez Ortiz, Pablo</t>
        </is>
      </c>
      <c r="C13" s="36">
        <f>AVERAGE('Calculo CEs'!C13:H13)</f>
        <v/>
      </c>
      <c r="D13" s="36">
        <f>AVERAGE('Calculo CEs'!I13:M13)</f>
        <v/>
      </c>
      <c r="E13" s="36">
        <f>AVERAGE('Calculo CEs'!N13:S13)</f>
        <v/>
      </c>
      <c r="F13" s="36">
        <f>AVERAGE('Calculo CEs'!T13:X13)</f>
        <v/>
      </c>
      <c r="G13" s="36">
        <f>AVERAGE('Calculo CEs'!Y13:AB13)</f>
        <v/>
      </c>
      <c r="H13" s="36">
        <f>AVERAGE('Calculo CEs'!AC13:AF13)</f>
        <v/>
      </c>
      <c r="I13" s="36">
        <f>AVERAGE('Calculo CEs'!AG13:AK13)</f>
        <v/>
      </c>
      <c r="J13" s="36">
        <f>AVERAGE('Calculo CEs'!AL13:AP13)</f>
        <v/>
      </c>
      <c r="K13" s="47">
        <f>C13*0.22 + D13*0.16 + E13*0.20 + F13*0.11 + G13*0.04 + H13*0.07 + I13*0.10 + J13*0.10</f>
        <v/>
      </c>
    </row>
    <row r="14" ht="20" customHeight="1">
      <c r="A14" s="13" t="n">
        <v>9</v>
      </c>
      <c r="B14" s="31" t="inlineStr">
        <is>
          <t>López Molina, Sara</t>
        </is>
      </c>
      <c r="C14" s="32">
        <f>AVERAGE('Calculo CEs'!C14:H14)</f>
        <v/>
      </c>
      <c r="D14" s="32">
        <f>AVERAGE('Calculo CEs'!I14:M14)</f>
        <v/>
      </c>
      <c r="E14" s="32">
        <f>AVERAGE('Calculo CEs'!N14:S14)</f>
        <v/>
      </c>
      <c r="F14" s="32">
        <f>AVERAGE('Calculo CEs'!T14:X14)</f>
        <v/>
      </c>
      <c r="G14" s="32">
        <f>AVERAGE('Calculo CEs'!Y14:AB14)</f>
        <v/>
      </c>
      <c r="H14" s="32">
        <f>AVERAGE('Calculo CEs'!AC14:AF14)</f>
        <v/>
      </c>
      <c r="I14" s="32">
        <f>AVERAGE('Calculo CEs'!AG14:AK14)</f>
        <v/>
      </c>
      <c r="J14" s="32">
        <f>AVERAGE('Calculo CEs'!AL14:AP14)</f>
        <v/>
      </c>
      <c r="K14" s="47">
        <f>C14*0.22 + D14*0.16 + E14*0.20 + F14*0.11 + G14*0.04 + H14*0.07 + I14*0.10 + J14*0.10</f>
        <v/>
      </c>
    </row>
    <row r="15" ht="20" customHeight="1">
      <c r="A15" s="21" t="n">
        <v>10</v>
      </c>
      <c r="B15" s="35" t="inlineStr">
        <is>
          <t>Martín Vega, Javier</t>
        </is>
      </c>
      <c r="C15" s="36">
        <f>AVERAGE('Calculo CEs'!C15:H15)</f>
        <v/>
      </c>
      <c r="D15" s="36">
        <f>AVERAGE('Calculo CEs'!I15:M15)</f>
        <v/>
      </c>
      <c r="E15" s="36">
        <f>AVERAGE('Calculo CEs'!N15:S15)</f>
        <v/>
      </c>
      <c r="F15" s="36">
        <f>AVERAGE('Calculo CEs'!T15:X15)</f>
        <v/>
      </c>
      <c r="G15" s="36">
        <f>AVERAGE('Calculo CEs'!Y15:AB15)</f>
        <v/>
      </c>
      <c r="H15" s="36">
        <f>AVERAGE('Calculo CEs'!AC15:AF15)</f>
        <v/>
      </c>
      <c r="I15" s="36">
        <f>AVERAGE('Calculo CEs'!AG15:AK15)</f>
        <v/>
      </c>
      <c r="J15" s="36">
        <f>AVERAGE('Calculo CEs'!AL15:AP15)</f>
        <v/>
      </c>
      <c r="K15" s="47">
        <f>C15*0.22 + D15*0.16 + E15*0.20 + F15*0.11 + G15*0.04 + H15*0.07 + I15*0.10 + J15*0.10</f>
        <v/>
      </c>
    </row>
    <row r="16" ht="20" customHeight="1">
      <c r="A16" s="13" t="n">
        <v>11</v>
      </c>
      <c r="B16" s="31" t="inlineStr">
        <is>
          <t>Navarro Gil, Ana</t>
        </is>
      </c>
      <c r="C16" s="32">
        <f>AVERAGE('Calculo CEs'!C16:H16)</f>
        <v/>
      </c>
      <c r="D16" s="32">
        <f>AVERAGE('Calculo CEs'!I16:M16)</f>
        <v/>
      </c>
      <c r="E16" s="32">
        <f>AVERAGE('Calculo CEs'!N16:S16)</f>
        <v/>
      </c>
      <c r="F16" s="32">
        <f>AVERAGE('Calculo CEs'!T16:X16)</f>
        <v/>
      </c>
      <c r="G16" s="32">
        <f>AVERAGE('Calculo CEs'!Y16:AB16)</f>
        <v/>
      </c>
      <c r="H16" s="32">
        <f>AVERAGE('Calculo CEs'!AC16:AF16)</f>
        <v/>
      </c>
      <c r="I16" s="32">
        <f>AVERAGE('Calculo CEs'!AG16:AK16)</f>
        <v/>
      </c>
      <c r="J16" s="32">
        <f>AVERAGE('Calculo CEs'!AL16:AP16)</f>
        <v/>
      </c>
      <c r="K16" s="47">
        <f>C16*0.22 + D16*0.16 + E16*0.20 + F16*0.11 + G16*0.04 + H16*0.07 + I16*0.10 + J16*0.10</f>
        <v/>
      </c>
    </row>
    <row r="17" ht="20" customHeight="1">
      <c r="A17" s="21" t="n">
        <v>12</v>
      </c>
      <c r="B17" s="35" t="inlineStr">
        <is>
          <t>Pérez Rubio, Álvaro</t>
        </is>
      </c>
      <c r="C17" s="36">
        <f>AVERAGE('Calculo CEs'!C17:H17)</f>
        <v/>
      </c>
      <c r="D17" s="36">
        <f>AVERAGE('Calculo CEs'!I17:M17)</f>
        <v/>
      </c>
      <c r="E17" s="36">
        <f>AVERAGE('Calculo CEs'!N17:S17)</f>
        <v/>
      </c>
      <c r="F17" s="36">
        <f>AVERAGE('Calculo CEs'!T17:X17)</f>
        <v/>
      </c>
      <c r="G17" s="36">
        <f>AVERAGE('Calculo CEs'!Y17:AB17)</f>
        <v/>
      </c>
      <c r="H17" s="36">
        <f>AVERAGE('Calculo CEs'!AC17:AF17)</f>
        <v/>
      </c>
      <c r="I17" s="36">
        <f>AVERAGE('Calculo CEs'!AG17:AK17)</f>
        <v/>
      </c>
      <c r="J17" s="36">
        <f>AVERAGE('Calculo CEs'!AL17:AP17)</f>
        <v/>
      </c>
      <c r="K17" s="47">
        <f>C17*0.22 + D17*0.16 + E17*0.20 + F17*0.11 + G17*0.04 + H17*0.07 + I17*0.10 + J17*0.10</f>
        <v/>
      </c>
    </row>
    <row r="18" ht="20" customHeight="1">
      <c r="A18" s="13" t="n">
        <v>13</v>
      </c>
      <c r="B18" s="31" t="inlineStr">
        <is>
          <t>Ramírez Soto, Carmen</t>
        </is>
      </c>
      <c r="C18" s="32">
        <f>AVERAGE('Calculo CEs'!C18:H18)</f>
        <v/>
      </c>
      <c r="D18" s="32">
        <f>AVERAGE('Calculo CEs'!I18:M18)</f>
        <v/>
      </c>
      <c r="E18" s="32">
        <f>AVERAGE('Calculo CEs'!N18:S18)</f>
        <v/>
      </c>
      <c r="F18" s="32">
        <f>AVERAGE('Calculo CEs'!T18:X18)</f>
        <v/>
      </c>
      <c r="G18" s="32">
        <f>AVERAGE('Calculo CEs'!Y18:AB18)</f>
        <v/>
      </c>
      <c r="H18" s="32">
        <f>AVERAGE('Calculo CEs'!AC18:AF18)</f>
        <v/>
      </c>
      <c r="I18" s="32">
        <f>AVERAGE('Calculo CEs'!AG18:AK18)</f>
        <v/>
      </c>
      <c r="J18" s="32">
        <f>AVERAGE('Calculo CEs'!AL18:AP18)</f>
        <v/>
      </c>
      <c r="K18" s="47">
        <f>C18*0.22 + D18*0.16 + E18*0.20 + F18*0.11 + G18*0.04 + H18*0.07 + I18*0.10 + J18*0.10</f>
        <v/>
      </c>
    </row>
    <row r="19" ht="20" customHeight="1">
      <c r="A19" s="21" t="n">
        <v>14</v>
      </c>
      <c r="B19" s="35" t="inlineStr">
        <is>
          <t>Sánchez Vidal, Daniel</t>
        </is>
      </c>
      <c r="C19" s="36">
        <f>AVERAGE('Calculo CEs'!C19:H19)</f>
        <v/>
      </c>
      <c r="D19" s="36">
        <f>AVERAGE('Calculo CEs'!I19:M19)</f>
        <v/>
      </c>
      <c r="E19" s="36">
        <f>AVERAGE('Calculo CEs'!N19:S19)</f>
        <v/>
      </c>
      <c r="F19" s="36">
        <f>AVERAGE('Calculo CEs'!T19:X19)</f>
        <v/>
      </c>
      <c r="G19" s="36">
        <f>AVERAGE('Calculo CEs'!Y19:AB19)</f>
        <v/>
      </c>
      <c r="H19" s="36">
        <f>AVERAGE('Calculo CEs'!AC19:AF19)</f>
        <v/>
      </c>
      <c r="I19" s="36">
        <f>AVERAGE('Calculo CEs'!AG19:AK19)</f>
        <v/>
      </c>
      <c r="J19" s="36">
        <f>AVERAGE('Calculo CEs'!AL19:AP19)</f>
        <v/>
      </c>
      <c r="K19" s="47">
        <f>C19*0.22 + D19*0.16 + E19*0.20 + F19*0.11 + G19*0.04 + H19*0.07 + I19*0.10 + J19*0.10</f>
        <v/>
      </c>
    </row>
    <row r="20" ht="20" customHeight="1">
      <c r="A20" s="13" t="n">
        <v>15</v>
      </c>
      <c r="B20" s="31" t="inlineStr">
        <is>
          <t>Torres Lozano, Irene</t>
        </is>
      </c>
      <c r="C20" s="32">
        <f>AVERAGE('Calculo CEs'!C20:H20)</f>
        <v/>
      </c>
      <c r="D20" s="32">
        <f>AVERAGE('Calculo CEs'!I20:M20)</f>
        <v/>
      </c>
      <c r="E20" s="32">
        <f>AVERAGE('Calculo CEs'!N20:S20)</f>
        <v/>
      </c>
      <c r="F20" s="32">
        <f>AVERAGE('Calculo CEs'!T20:X20)</f>
        <v/>
      </c>
      <c r="G20" s="32">
        <f>AVERAGE('Calculo CEs'!Y20:AB20)</f>
        <v/>
      </c>
      <c r="H20" s="32">
        <f>AVERAGE('Calculo CEs'!AC20:AF20)</f>
        <v/>
      </c>
      <c r="I20" s="32">
        <f>AVERAGE('Calculo CEs'!AG20:AK20)</f>
        <v/>
      </c>
      <c r="J20" s="32">
        <f>AVERAGE('Calculo CEs'!AL20:AP20)</f>
        <v/>
      </c>
      <c r="K20" s="47">
        <f>C20*0.22 + D20*0.16 + E20*0.20 + F20*0.11 + G20*0.04 + H20*0.07 + I20*0.10 + J20*0.10</f>
        <v/>
      </c>
    </row>
    <row r="21" ht="24" customHeight="1">
      <c r="A21" s="37" t="inlineStr">
        <is>
          <t>PROMEDIO DEL GRUPO</t>
        </is>
      </c>
      <c r="B21" s="28" t="n"/>
      <c r="C21" s="38">
        <f>AVERAGE(C6:C20)</f>
        <v/>
      </c>
      <c r="D21" s="38">
        <f>AVERAGE(D6:D20)</f>
        <v/>
      </c>
      <c r="E21" s="38">
        <f>AVERAGE(E6:E20)</f>
        <v/>
      </c>
      <c r="F21" s="38">
        <f>AVERAGE(F6:F20)</f>
        <v/>
      </c>
      <c r="G21" s="38">
        <f>AVERAGE(G6:G20)</f>
        <v/>
      </c>
      <c r="H21" s="38">
        <f>AVERAGE(H6:H20)</f>
        <v/>
      </c>
      <c r="I21" s="38">
        <f>AVERAGE(I6:I20)</f>
        <v/>
      </c>
      <c r="J21" s="38">
        <f>AVERAGE(J6:J20)</f>
        <v/>
      </c>
      <c r="K21" s="38">
        <f>AVERAGE(K6:K20)</f>
        <v/>
      </c>
    </row>
  </sheetData>
  <mergeCells count="3">
    <mergeCell ref="A2:K2"/>
    <mergeCell ref="A21:B21"/>
    <mergeCell ref="A1:K1"/>
  </mergeCells>
  <conditionalFormatting sqref="K6:K20">
    <cfRule type="cellIs" priority="1" operator="greaterThanOrEqual" dxfId="0" stopIfTrue="1">
      <formula>5.0</formula>
    </cfRule>
    <cfRule type="cellIs" priority="2" operator="lessThan" dxfId="1" stopIfTrue="1">
      <formula>5.0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6" customWidth="1" min="14" max="14"/>
    <col width="18" customWidth="1" min="15" max="15"/>
    <col width="22" customWidth="1" min="16" max="16"/>
  </cols>
  <sheetData>
    <row r="1" ht="36" customHeight="1">
      <c r="A1" s="1" t="inlineStr">
        <is>
          <t>PANEL DE CONTROL GENERAL — DESARROLLO DE INTERFACES (2º DAM)</t>
        </is>
      </c>
    </row>
    <row r="2" ht="20" customHeight="1">
      <c r="A2" s="2" t="inlineStr">
        <is>
          <t>Síntesis Integral: Trimestres, Resultados de Aprendizaje Oficiales, Calificación Ordinaria y Acceso a Formación en Empresa (Dual)</t>
        </is>
      </c>
    </row>
    <row r="4">
      <c r="B4" s="48" t="inlineStr">
        <is>
          <t>ALUMNADO MATRICULADO</t>
        </is>
      </c>
      <c r="E4" s="48" t="inlineStr">
        <is>
          <t>APROBADOS EVAL. ORDINARIA</t>
        </is>
      </c>
      <c r="H4" s="48" t="inlineStr">
        <is>
          <t>SUSPENSOS EVAL. ORDINARIA</t>
        </is>
      </c>
      <c r="K4" s="48" t="inlineStr">
        <is>
          <t>NOTA MEDIA DEL GRUPO</t>
        </is>
      </c>
      <c r="N4" s="48" t="inlineStr">
        <is>
          <t>TASA DE ÉXITO ACADÉMICO</t>
        </is>
      </c>
    </row>
    <row r="5">
      <c r="B5" s="49">
        <f>COUNTA(A9:A23)</f>
        <v/>
      </c>
      <c r="E5" s="50">
        <f>COUNTIF(N9:N23, "&gt;=5")</f>
        <v/>
      </c>
      <c r="H5" s="51">
        <f>COUNTIF(N9:N23, "&lt;5")</f>
        <v/>
      </c>
      <c r="K5" s="52">
        <f>AVERAGE(N9:N23)</f>
        <v/>
      </c>
      <c r="N5" s="53">
        <f>E5/B5</f>
        <v/>
      </c>
    </row>
    <row r="6"/>
    <row r="8" ht="40" customHeight="1">
      <c r="A8" s="29" t="inlineStr">
        <is>
          <t>Nº</t>
        </is>
      </c>
      <c r="B8" s="29" t="inlineStr">
        <is>
          <t>Apellidos, Nombre</t>
        </is>
      </c>
      <c r="C8" s="9" t="inlineStr">
        <is>
          <t>1º Trim
(T1)</t>
        </is>
      </c>
      <c r="D8" s="9" t="inlineStr">
        <is>
          <t>2º Trim
(T2)</t>
        </is>
      </c>
      <c r="E8" s="8" t="inlineStr">
        <is>
          <t>RA1
(22%)</t>
        </is>
      </c>
      <c r="F8" s="8" t="inlineStr">
        <is>
          <t>RA2
(16%)</t>
        </is>
      </c>
      <c r="G8" s="8" t="inlineStr">
        <is>
          <t>RA3
(20%)</t>
        </is>
      </c>
      <c r="H8" s="8" t="inlineStr">
        <is>
          <t>RA4
(11%)</t>
        </is>
      </c>
      <c r="I8" s="8" t="inlineStr">
        <is>
          <t>RA5
(4%)</t>
        </is>
      </c>
      <c r="J8" s="8" t="inlineStr">
        <is>
          <t>RA6
(7%)</t>
        </is>
      </c>
      <c r="K8" s="8" t="inlineStr">
        <is>
          <t>RA7
(10%)</t>
        </is>
      </c>
      <c r="L8" s="8" t="inlineStr">
        <is>
          <t>RA8
(10%)</t>
        </is>
      </c>
      <c r="M8" s="43" t="inlineStr">
        <is>
          <t>Media
T1-T2</t>
        </is>
      </c>
      <c r="N8" s="43" t="inlineStr">
        <is>
          <t>Nota Final
Ordinaria (Marzo)</t>
        </is>
      </c>
      <c r="O8" s="30" t="inlineStr">
        <is>
          <t>Calificación Cualitativa</t>
        </is>
      </c>
      <c r="P8" s="30" t="inlineStr">
        <is>
          <t>Acceso a Dual en Empresa</t>
        </is>
      </c>
    </row>
    <row r="9" ht="20" customHeight="1">
      <c r="A9" s="21" t="n">
        <v>1</v>
      </c>
      <c r="B9" s="35" t="inlineStr">
        <is>
          <t>Álvarez Gómez, Laura</t>
        </is>
      </c>
      <c r="C9" s="54">
        <f>'Registro Notas'!S6</f>
        <v/>
      </c>
      <c r="D9" s="55">
        <f>'Registro Notas'!T6</f>
        <v/>
      </c>
      <c r="E9" s="36">
        <f>'Calculo RAs'!C6</f>
        <v/>
      </c>
      <c r="F9" s="36">
        <f>'Calculo RAs'!D6</f>
        <v/>
      </c>
      <c r="G9" s="36">
        <f>'Calculo RAs'!E6</f>
        <v/>
      </c>
      <c r="H9" s="36">
        <f>'Calculo RAs'!F6</f>
        <v/>
      </c>
      <c r="I9" s="36">
        <f>'Calculo RAs'!G6</f>
        <v/>
      </c>
      <c r="J9" s="36">
        <f>'Calculo RAs'!H6</f>
        <v/>
      </c>
      <c r="K9" s="36">
        <f>'Calculo RAs'!I6</f>
        <v/>
      </c>
      <c r="L9" s="36">
        <f>'Calculo RAs'!J6</f>
        <v/>
      </c>
      <c r="M9" s="36">
        <f>AVERAGE(C9, D9)</f>
        <v/>
      </c>
      <c r="N9" s="47">
        <f>'Calculo RAs'!K6</f>
        <v/>
      </c>
      <c r="O9" s="18">
        <f>IF(N9&gt;=9, "SOBRESALIENTE", IF(N9&gt;=7, "NOTABLE", IF(N9&gt;=6, "BIEN", IF(N9&gt;=5, "SUFICIENTE", "INSUFICIENTE"))))</f>
        <v/>
      </c>
      <c r="P9" s="18">
        <f>IF(N9&gt;=5, "AUTORIZADO (DUAL)", "PENDIENTE RECUP.")</f>
        <v/>
      </c>
    </row>
    <row r="10" ht="20" customHeight="1">
      <c r="A10" s="13" t="n">
        <v>2</v>
      </c>
      <c r="B10" s="31" t="inlineStr">
        <is>
          <t>Benítez Romero, Carlos</t>
        </is>
      </c>
      <c r="C10" s="33">
        <f>'Registro Notas'!S7</f>
        <v/>
      </c>
      <c r="D10" s="34">
        <f>'Registro Notas'!T7</f>
        <v/>
      </c>
      <c r="E10" s="32">
        <f>'Calculo RAs'!C7</f>
        <v/>
      </c>
      <c r="F10" s="32">
        <f>'Calculo RAs'!D7</f>
        <v/>
      </c>
      <c r="G10" s="32">
        <f>'Calculo RAs'!E7</f>
        <v/>
      </c>
      <c r="H10" s="32">
        <f>'Calculo RAs'!F7</f>
        <v/>
      </c>
      <c r="I10" s="32">
        <f>'Calculo RAs'!G7</f>
        <v/>
      </c>
      <c r="J10" s="32">
        <f>'Calculo RAs'!H7</f>
        <v/>
      </c>
      <c r="K10" s="32">
        <f>'Calculo RAs'!I7</f>
        <v/>
      </c>
      <c r="L10" s="32">
        <f>'Calculo RAs'!J7</f>
        <v/>
      </c>
      <c r="M10" s="32">
        <f>AVERAGE(C10, D10)</f>
        <v/>
      </c>
      <c r="N10" s="47">
        <f>'Calculo RAs'!K7</f>
        <v/>
      </c>
      <c r="O10" s="10">
        <f>IF(N10&gt;=9, "SOBRESALIENTE", IF(N10&gt;=7, "NOTABLE", IF(N10&gt;=6, "BIEN", IF(N10&gt;=5, "SUFICIENTE", "INSUFICIENTE"))))</f>
        <v/>
      </c>
      <c r="P10" s="10">
        <f>IF(N10&gt;=5, "AUTORIZADO (DUAL)", "PENDIENTE RECUP.")</f>
        <v/>
      </c>
    </row>
    <row r="11" ht="20" customHeight="1">
      <c r="A11" s="21" t="n">
        <v>3</v>
      </c>
      <c r="B11" s="35" t="inlineStr">
        <is>
          <t>Castillo Morales, Elena</t>
        </is>
      </c>
      <c r="C11" s="54">
        <f>'Registro Notas'!S8</f>
        <v/>
      </c>
      <c r="D11" s="55">
        <f>'Registro Notas'!T8</f>
        <v/>
      </c>
      <c r="E11" s="36">
        <f>'Calculo RAs'!C8</f>
        <v/>
      </c>
      <c r="F11" s="36">
        <f>'Calculo RAs'!D8</f>
        <v/>
      </c>
      <c r="G11" s="36">
        <f>'Calculo RAs'!E8</f>
        <v/>
      </c>
      <c r="H11" s="36">
        <f>'Calculo RAs'!F8</f>
        <v/>
      </c>
      <c r="I11" s="36">
        <f>'Calculo RAs'!G8</f>
        <v/>
      </c>
      <c r="J11" s="36">
        <f>'Calculo RAs'!H8</f>
        <v/>
      </c>
      <c r="K11" s="36">
        <f>'Calculo RAs'!I8</f>
        <v/>
      </c>
      <c r="L11" s="36">
        <f>'Calculo RAs'!J8</f>
        <v/>
      </c>
      <c r="M11" s="36">
        <f>AVERAGE(C11, D11)</f>
        <v/>
      </c>
      <c r="N11" s="47">
        <f>'Calculo RAs'!K8</f>
        <v/>
      </c>
      <c r="O11" s="18">
        <f>IF(N11&gt;=9, "SOBRESALIENTE", IF(N11&gt;=7, "NOTABLE", IF(N11&gt;=6, "BIEN", IF(N11&gt;=5, "SUFICIENTE", "INSUFICIENTE"))))</f>
        <v/>
      </c>
      <c r="P11" s="18">
        <f>IF(N11&gt;=5, "AUTORIZADO (DUAL)", "PENDIENTE RECUP.")</f>
        <v/>
      </c>
    </row>
    <row r="12" ht="20" customHeight="1">
      <c r="A12" s="13" t="n">
        <v>4</v>
      </c>
      <c r="B12" s="31" t="inlineStr">
        <is>
          <t>Delgado Santos, Alejandro</t>
        </is>
      </c>
      <c r="C12" s="33">
        <f>'Registro Notas'!S9</f>
        <v/>
      </c>
      <c r="D12" s="34">
        <f>'Registro Notas'!T9</f>
        <v/>
      </c>
      <c r="E12" s="32">
        <f>'Calculo RAs'!C9</f>
        <v/>
      </c>
      <c r="F12" s="32">
        <f>'Calculo RAs'!D9</f>
        <v/>
      </c>
      <c r="G12" s="32">
        <f>'Calculo RAs'!E9</f>
        <v/>
      </c>
      <c r="H12" s="32">
        <f>'Calculo RAs'!F9</f>
        <v/>
      </c>
      <c r="I12" s="32">
        <f>'Calculo RAs'!G9</f>
        <v/>
      </c>
      <c r="J12" s="32">
        <f>'Calculo RAs'!H9</f>
        <v/>
      </c>
      <c r="K12" s="32">
        <f>'Calculo RAs'!I9</f>
        <v/>
      </c>
      <c r="L12" s="32">
        <f>'Calculo RAs'!J9</f>
        <v/>
      </c>
      <c r="M12" s="32">
        <f>AVERAGE(C12, D12)</f>
        <v/>
      </c>
      <c r="N12" s="47">
        <f>'Calculo RAs'!K9</f>
        <v/>
      </c>
      <c r="O12" s="10">
        <f>IF(N12&gt;=9, "SOBRESALIENTE", IF(N12&gt;=7, "NOTABLE", IF(N12&gt;=6, "BIEN", IF(N12&gt;=5, "SUFICIENTE", "INSUFICIENTE"))))</f>
        <v/>
      </c>
      <c r="P12" s="10">
        <f>IF(N12&gt;=5, "AUTORIZADO (DUAL)", "PENDIENTE RECUP.")</f>
        <v/>
      </c>
    </row>
    <row r="13" ht="20" customHeight="1">
      <c r="A13" s="21" t="n">
        <v>5</v>
      </c>
      <c r="B13" s="35" t="inlineStr">
        <is>
          <t>Fernández Navarro, Lucía</t>
        </is>
      </c>
      <c r="C13" s="54">
        <f>'Registro Notas'!S10</f>
        <v/>
      </c>
      <c r="D13" s="55">
        <f>'Registro Notas'!T10</f>
        <v/>
      </c>
      <c r="E13" s="36">
        <f>'Calculo RAs'!C10</f>
        <v/>
      </c>
      <c r="F13" s="36">
        <f>'Calculo RAs'!D10</f>
        <v/>
      </c>
      <c r="G13" s="36">
        <f>'Calculo RAs'!E10</f>
        <v/>
      </c>
      <c r="H13" s="36">
        <f>'Calculo RAs'!F10</f>
        <v/>
      </c>
      <c r="I13" s="36">
        <f>'Calculo RAs'!G10</f>
        <v/>
      </c>
      <c r="J13" s="36">
        <f>'Calculo RAs'!H10</f>
        <v/>
      </c>
      <c r="K13" s="36">
        <f>'Calculo RAs'!I10</f>
        <v/>
      </c>
      <c r="L13" s="36">
        <f>'Calculo RAs'!J10</f>
        <v/>
      </c>
      <c r="M13" s="36">
        <f>AVERAGE(C13, D13)</f>
        <v/>
      </c>
      <c r="N13" s="47">
        <f>'Calculo RAs'!K10</f>
        <v/>
      </c>
      <c r="O13" s="18">
        <f>IF(N13&gt;=9, "SOBRESALIENTE", IF(N13&gt;=7, "NOTABLE", IF(N13&gt;=6, "BIEN", IF(N13&gt;=5, "SUFICIENTE", "INSUFICIENTE"))))</f>
        <v/>
      </c>
      <c r="P13" s="18">
        <f>IF(N13&gt;=5, "AUTORIZADO (DUAL)", "PENDIENTE RECUP.")</f>
        <v/>
      </c>
    </row>
    <row r="14" ht="20" customHeight="1">
      <c r="A14" s="13" t="n">
        <v>6</v>
      </c>
      <c r="B14" s="31" t="inlineStr">
        <is>
          <t>García Serrano, David</t>
        </is>
      </c>
      <c r="C14" s="33">
        <f>'Registro Notas'!S11</f>
        <v/>
      </c>
      <c r="D14" s="34">
        <f>'Registro Notas'!T11</f>
        <v/>
      </c>
      <c r="E14" s="32">
        <f>'Calculo RAs'!C11</f>
        <v/>
      </c>
      <c r="F14" s="32">
        <f>'Calculo RAs'!D11</f>
        <v/>
      </c>
      <c r="G14" s="32">
        <f>'Calculo RAs'!E11</f>
        <v/>
      </c>
      <c r="H14" s="32">
        <f>'Calculo RAs'!F11</f>
        <v/>
      </c>
      <c r="I14" s="32">
        <f>'Calculo RAs'!G11</f>
        <v/>
      </c>
      <c r="J14" s="32">
        <f>'Calculo RAs'!H11</f>
        <v/>
      </c>
      <c r="K14" s="32">
        <f>'Calculo RAs'!I11</f>
        <v/>
      </c>
      <c r="L14" s="32">
        <f>'Calculo RAs'!J11</f>
        <v/>
      </c>
      <c r="M14" s="32">
        <f>AVERAGE(C14, D14)</f>
        <v/>
      </c>
      <c r="N14" s="47">
        <f>'Calculo RAs'!K11</f>
        <v/>
      </c>
      <c r="O14" s="10">
        <f>IF(N14&gt;=9, "SOBRESALIENTE", IF(N14&gt;=7, "NOTABLE", IF(N14&gt;=6, "BIEN", IF(N14&gt;=5, "SUFICIENTE", "INSUFICIENTE"))))</f>
        <v/>
      </c>
      <c r="P14" s="10">
        <f>IF(N14&gt;=5, "AUTORIZADO (DUAL)", "PENDIENTE RECUP.")</f>
        <v/>
      </c>
    </row>
    <row r="15" ht="20" customHeight="1">
      <c r="A15" s="21" t="n">
        <v>7</v>
      </c>
      <c r="B15" s="35" t="inlineStr">
        <is>
          <t>Herrera Cruz, Marta</t>
        </is>
      </c>
      <c r="C15" s="54">
        <f>'Registro Notas'!S12</f>
        <v/>
      </c>
      <c r="D15" s="55">
        <f>'Registro Notas'!T12</f>
        <v/>
      </c>
      <c r="E15" s="36">
        <f>'Calculo RAs'!C12</f>
        <v/>
      </c>
      <c r="F15" s="36">
        <f>'Calculo RAs'!D12</f>
        <v/>
      </c>
      <c r="G15" s="36">
        <f>'Calculo RAs'!E12</f>
        <v/>
      </c>
      <c r="H15" s="36">
        <f>'Calculo RAs'!F12</f>
        <v/>
      </c>
      <c r="I15" s="36">
        <f>'Calculo RAs'!G12</f>
        <v/>
      </c>
      <c r="J15" s="36">
        <f>'Calculo RAs'!H12</f>
        <v/>
      </c>
      <c r="K15" s="36">
        <f>'Calculo RAs'!I12</f>
        <v/>
      </c>
      <c r="L15" s="36">
        <f>'Calculo RAs'!J12</f>
        <v/>
      </c>
      <c r="M15" s="36">
        <f>AVERAGE(C15, D15)</f>
        <v/>
      </c>
      <c r="N15" s="47">
        <f>'Calculo RAs'!K12</f>
        <v/>
      </c>
      <c r="O15" s="18">
        <f>IF(N15&gt;=9, "SOBRESALIENTE", IF(N15&gt;=7, "NOTABLE", IF(N15&gt;=6, "BIEN", IF(N15&gt;=5, "SUFICIENTE", "INSUFICIENTE"))))</f>
        <v/>
      </c>
      <c r="P15" s="18">
        <f>IF(N15&gt;=5, "AUTORIZADO (DUAL)", "PENDIENTE RECUP.")</f>
        <v/>
      </c>
    </row>
    <row r="16" ht="20" customHeight="1">
      <c r="A16" s="13" t="n">
        <v>8</v>
      </c>
      <c r="B16" s="31" t="inlineStr">
        <is>
          <t>Jiménez Ortiz, Pablo</t>
        </is>
      </c>
      <c r="C16" s="33">
        <f>'Registro Notas'!S13</f>
        <v/>
      </c>
      <c r="D16" s="34">
        <f>'Registro Notas'!T13</f>
        <v/>
      </c>
      <c r="E16" s="32">
        <f>'Calculo RAs'!C13</f>
        <v/>
      </c>
      <c r="F16" s="32">
        <f>'Calculo RAs'!D13</f>
        <v/>
      </c>
      <c r="G16" s="32">
        <f>'Calculo RAs'!E13</f>
        <v/>
      </c>
      <c r="H16" s="32">
        <f>'Calculo RAs'!F13</f>
        <v/>
      </c>
      <c r="I16" s="32">
        <f>'Calculo RAs'!G13</f>
        <v/>
      </c>
      <c r="J16" s="32">
        <f>'Calculo RAs'!H13</f>
        <v/>
      </c>
      <c r="K16" s="32">
        <f>'Calculo RAs'!I13</f>
        <v/>
      </c>
      <c r="L16" s="32">
        <f>'Calculo RAs'!J13</f>
        <v/>
      </c>
      <c r="M16" s="32">
        <f>AVERAGE(C16, D16)</f>
        <v/>
      </c>
      <c r="N16" s="47">
        <f>'Calculo RAs'!K13</f>
        <v/>
      </c>
      <c r="O16" s="10">
        <f>IF(N16&gt;=9, "SOBRESALIENTE", IF(N16&gt;=7, "NOTABLE", IF(N16&gt;=6, "BIEN", IF(N16&gt;=5, "SUFICIENTE", "INSUFICIENTE"))))</f>
        <v/>
      </c>
      <c r="P16" s="10">
        <f>IF(N16&gt;=5, "AUTORIZADO (DUAL)", "PENDIENTE RECUP.")</f>
        <v/>
      </c>
    </row>
    <row r="17" ht="20" customHeight="1">
      <c r="A17" s="21" t="n">
        <v>9</v>
      </c>
      <c r="B17" s="35" t="inlineStr">
        <is>
          <t>López Molina, Sara</t>
        </is>
      </c>
      <c r="C17" s="54">
        <f>'Registro Notas'!S14</f>
        <v/>
      </c>
      <c r="D17" s="55">
        <f>'Registro Notas'!T14</f>
        <v/>
      </c>
      <c r="E17" s="36">
        <f>'Calculo RAs'!C14</f>
        <v/>
      </c>
      <c r="F17" s="36">
        <f>'Calculo RAs'!D14</f>
        <v/>
      </c>
      <c r="G17" s="36">
        <f>'Calculo RAs'!E14</f>
        <v/>
      </c>
      <c r="H17" s="36">
        <f>'Calculo RAs'!F14</f>
        <v/>
      </c>
      <c r="I17" s="36">
        <f>'Calculo RAs'!G14</f>
        <v/>
      </c>
      <c r="J17" s="36">
        <f>'Calculo RAs'!H14</f>
        <v/>
      </c>
      <c r="K17" s="36">
        <f>'Calculo RAs'!I14</f>
        <v/>
      </c>
      <c r="L17" s="36">
        <f>'Calculo RAs'!J14</f>
        <v/>
      </c>
      <c r="M17" s="36">
        <f>AVERAGE(C17, D17)</f>
        <v/>
      </c>
      <c r="N17" s="47">
        <f>'Calculo RAs'!K14</f>
        <v/>
      </c>
      <c r="O17" s="18">
        <f>IF(N17&gt;=9, "SOBRESALIENTE", IF(N17&gt;=7, "NOTABLE", IF(N17&gt;=6, "BIEN", IF(N17&gt;=5, "SUFICIENTE", "INSUFICIENTE"))))</f>
        <v/>
      </c>
      <c r="P17" s="18">
        <f>IF(N17&gt;=5, "AUTORIZADO (DUAL)", "PENDIENTE RECUP.")</f>
        <v/>
      </c>
    </row>
    <row r="18" ht="20" customHeight="1">
      <c r="A18" s="13" t="n">
        <v>10</v>
      </c>
      <c r="B18" s="31" t="inlineStr">
        <is>
          <t>Martín Vega, Javier</t>
        </is>
      </c>
      <c r="C18" s="33">
        <f>'Registro Notas'!S15</f>
        <v/>
      </c>
      <c r="D18" s="34">
        <f>'Registro Notas'!T15</f>
        <v/>
      </c>
      <c r="E18" s="32">
        <f>'Calculo RAs'!C15</f>
        <v/>
      </c>
      <c r="F18" s="32">
        <f>'Calculo RAs'!D15</f>
        <v/>
      </c>
      <c r="G18" s="32">
        <f>'Calculo RAs'!E15</f>
        <v/>
      </c>
      <c r="H18" s="32">
        <f>'Calculo RAs'!F15</f>
        <v/>
      </c>
      <c r="I18" s="32">
        <f>'Calculo RAs'!G15</f>
        <v/>
      </c>
      <c r="J18" s="32">
        <f>'Calculo RAs'!H15</f>
        <v/>
      </c>
      <c r="K18" s="32">
        <f>'Calculo RAs'!I15</f>
        <v/>
      </c>
      <c r="L18" s="32">
        <f>'Calculo RAs'!J15</f>
        <v/>
      </c>
      <c r="M18" s="32">
        <f>AVERAGE(C18, D18)</f>
        <v/>
      </c>
      <c r="N18" s="47">
        <f>'Calculo RAs'!K15</f>
        <v/>
      </c>
      <c r="O18" s="10">
        <f>IF(N18&gt;=9, "SOBRESALIENTE", IF(N18&gt;=7, "NOTABLE", IF(N18&gt;=6, "BIEN", IF(N18&gt;=5, "SUFICIENTE", "INSUFICIENTE"))))</f>
        <v/>
      </c>
      <c r="P18" s="10">
        <f>IF(N18&gt;=5, "AUTORIZADO (DUAL)", "PENDIENTE RECUP.")</f>
        <v/>
      </c>
    </row>
    <row r="19" ht="20" customHeight="1">
      <c r="A19" s="21" t="n">
        <v>11</v>
      </c>
      <c r="B19" s="35" t="inlineStr">
        <is>
          <t>Navarro Gil, Ana</t>
        </is>
      </c>
      <c r="C19" s="54">
        <f>'Registro Notas'!S16</f>
        <v/>
      </c>
      <c r="D19" s="55">
        <f>'Registro Notas'!T16</f>
        <v/>
      </c>
      <c r="E19" s="36">
        <f>'Calculo RAs'!C16</f>
        <v/>
      </c>
      <c r="F19" s="36">
        <f>'Calculo RAs'!D16</f>
        <v/>
      </c>
      <c r="G19" s="36">
        <f>'Calculo RAs'!E16</f>
        <v/>
      </c>
      <c r="H19" s="36">
        <f>'Calculo RAs'!F16</f>
        <v/>
      </c>
      <c r="I19" s="36">
        <f>'Calculo RAs'!G16</f>
        <v/>
      </c>
      <c r="J19" s="36">
        <f>'Calculo RAs'!H16</f>
        <v/>
      </c>
      <c r="K19" s="36">
        <f>'Calculo RAs'!I16</f>
        <v/>
      </c>
      <c r="L19" s="36">
        <f>'Calculo RAs'!J16</f>
        <v/>
      </c>
      <c r="M19" s="36">
        <f>AVERAGE(C19, D19)</f>
        <v/>
      </c>
      <c r="N19" s="47">
        <f>'Calculo RAs'!K16</f>
        <v/>
      </c>
      <c r="O19" s="18">
        <f>IF(N19&gt;=9, "SOBRESALIENTE", IF(N19&gt;=7, "NOTABLE", IF(N19&gt;=6, "BIEN", IF(N19&gt;=5, "SUFICIENTE", "INSUFICIENTE"))))</f>
        <v/>
      </c>
      <c r="P19" s="18">
        <f>IF(N19&gt;=5, "AUTORIZADO (DUAL)", "PENDIENTE RECUP.")</f>
        <v/>
      </c>
    </row>
    <row r="20" ht="20" customHeight="1">
      <c r="A20" s="13" t="n">
        <v>12</v>
      </c>
      <c r="B20" s="31" t="inlineStr">
        <is>
          <t>Pérez Rubio, Álvaro</t>
        </is>
      </c>
      <c r="C20" s="33">
        <f>'Registro Notas'!S17</f>
        <v/>
      </c>
      <c r="D20" s="34">
        <f>'Registro Notas'!T17</f>
        <v/>
      </c>
      <c r="E20" s="32">
        <f>'Calculo RAs'!C17</f>
        <v/>
      </c>
      <c r="F20" s="32">
        <f>'Calculo RAs'!D17</f>
        <v/>
      </c>
      <c r="G20" s="32">
        <f>'Calculo RAs'!E17</f>
        <v/>
      </c>
      <c r="H20" s="32">
        <f>'Calculo RAs'!F17</f>
        <v/>
      </c>
      <c r="I20" s="32">
        <f>'Calculo RAs'!G17</f>
        <v/>
      </c>
      <c r="J20" s="32">
        <f>'Calculo RAs'!H17</f>
        <v/>
      </c>
      <c r="K20" s="32">
        <f>'Calculo RAs'!I17</f>
        <v/>
      </c>
      <c r="L20" s="32">
        <f>'Calculo RAs'!J17</f>
        <v/>
      </c>
      <c r="M20" s="32">
        <f>AVERAGE(C20, D20)</f>
        <v/>
      </c>
      <c r="N20" s="47">
        <f>'Calculo RAs'!K17</f>
        <v/>
      </c>
      <c r="O20" s="10">
        <f>IF(N20&gt;=9, "SOBRESALIENTE", IF(N20&gt;=7, "NOTABLE", IF(N20&gt;=6, "BIEN", IF(N20&gt;=5, "SUFICIENTE", "INSUFICIENTE"))))</f>
        <v/>
      </c>
      <c r="P20" s="10">
        <f>IF(N20&gt;=5, "AUTORIZADO (DUAL)", "PENDIENTE RECUP.")</f>
        <v/>
      </c>
    </row>
    <row r="21" ht="20" customHeight="1">
      <c r="A21" s="21" t="n">
        <v>13</v>
      </c>
      <c r="B21" s="35" t="inlineStr">
        <is>
          <t>Ramírez Soto, Carmen</t>
        </is>
      </c>
      <c r="C21" s="54">
        <f>'Registro Notas'!S18</f>
        <v/>
      </c>
      <c r="D21" s="55">
        <f>'Registro Notas'!T18</f>
        <v/>
      </c>
      <c r="E21" s="36">
        <f>'Calculo RAs'!C18</f>
        <v/>
      </c>
      <c r="F21" s="36">
        <f>'Calculo RAs'!D18</f>
        <v/>
      </c>
      <c r="G21" s="36">
        <f>'Calculo RAs'!E18</f>
        <v/>
      </c>
      <c r="H21" s="36">
        <f>'Calculo RAs'!F18</f>
        <v/>
      </c>
      <c r="I21" s="36">
        <f>'Calculo RAs'!G18</f>
        <v/>
      </c>
      <c r="J21" s="36">
        <f>'Calculo RAs'!H18</f>
        <v/>
      </c>
      <c r="K21" s="36">
        <f>'Calculo RAs'!I18</f>
        <v/>
      </c>
      <c r="L21" s="36">
        <f>'Calculo RAs'!J18</f>
        <v/>
      </c>
      <c r="M21" s="36">
        <f>AVERAGE(C21, D21)</f>
        <v/>
      </c>
      <c r="N21" s="47">
        <f>'Calculo RAs'!K18</f>
        <v/>
      </c>
      <c r="O21" s="18">
        <f>IF(N21&gt;=9, "SOBRESALIENTE", IF(N21&gt;=7, "NOTABLE", IF(N21&gt;=6, "BIEN", IF(N21&gt;=5, "SUFICIENTE", "INSUFICIENTE"))))</f>
        <v/>
      </c>
      <c r="P21" s="18">
        <f>IF(N21&gt;=5, "AUTORIZADO (DUAL)", "PENDIENTE RECUP.")</f>
        <v/>
      </c>
    </row>
    <row r="22" ht="20" customHeight="1">
      <c r="A22" s="13" t="n">
        <v>14</v>
      </c>
      <c r="B22" s="31" t="inlineStr">
        <is>
          <t>Sánchez Vidal, Daniel</t>
        </is>
      </c>
      <c r="C22" s="33">
        <f>'Registro Notas'!S19</f>
        <v/>
      </c>
      <c r="D22" s="34">
        <f>'Registro Notas'!T19</f>
        <v/>
      </c>
      <c r="E22" s="32">
        <f>'Calculo RAs'!C19</f>
        <v/>
      </c>
      <c r="F22" s="32">
        <f>'Calculo RAs'!D19</f>
        <v/>
      </c>
      <c r="G22" s="32">
        <f>'Calculo RAs'!E19</f>
        <v/>
      </c>
      <c r="H22" s="32">
        <f>'Calculo RAs'!F19</f>
        <v/>
      </c>
      <c r="I22" s="32">
        <f>'Calculo RAs'!G19</f>
        <v/>
      </c>
      <c r="J22" s="32">
        <f>'Calculo RAs'!H19</f>
        <v/>
      </c>
      <c r="K22" s="32">
        <f>'Calculo RAs'!I19</f>
        <v/>
      </c>
      <c r="L22" s="32">
        <f>'Calculo RAs'!J19</f>
        <v/>
      </c>
      <c r="M22" s="32">
        <f>AVERAGE(C22, D22)</f>
        <v/>
      </c>
      <c r="N22" s="47">
        <f>'Calculo RAs'!K19</f>
        <v/>
      </c>
      <c r="O22" s="10">
        <f>IF(N22&gt;=9, "SOBRESALIENTE", IF(N22&gt;=7, "NOTABLE", IF(N22&gt;=6, "BIEN", IF(N22&gt;=5, "SUFICIENTE", "INSUFICIENTE"))))</f>
        <v/>
      </c>
      <c r="P22" s="10">
        <f>IF(N22&gt;=5, "AUTORIZADO (DUAL)", "PENDIENTE RECUP.")</f>
        <v/>
      </c>
    </row>
    <row r="23" ht="20" customHeight="1">
      <c r="A23" s="21" t="n">
        <v>15</v>
      </c>
      <c r="B23" s="35" t="inlineStr">
        <is>
          <t>Torres Lozano, Irene</t>
        </is>
      </c>
      <c r="C23" s="54">
        <f>'Registro Notas'!S20</f>
        <v/>
      </c>
      <c r="D23" s="55">
        <f>'Registro Notas'!T20</f>
        <v/>
      </c>
      <c r="E23" s="36">
        <f>'Calculo RAs'!C20</f>
        <v/>
      </c>
      <c r="F23" s="36">
        <f>'Calculo RAs'!D20</f>
        <v/>
      </c>
      <c r="G23" s="36">
        <f>'Calculo RAs'!E20</f>
        <v/>
      </c>
      <c r="H23" s="36">
        <f>'Calculo RAs'!F20</f>
        <v/>
      </c>
      <c r="I23" s="36">
        <f>'Calculo RAs'!G20</f>
        <v/>
      </c>
      <c r="J23" s="36">
        <f>'Calculo RAs'!H20</f>
        <v/>
      </c>
      <c r="K23" s="36">
        <f>'Calculo RAs'!I20</f>
        <v/>
      </c>
      <c r="L23" s="36">
        <f>'Calculo RAs'!J20</f>
        <v/>
      </c>
      <c r="M23" s="36">
        <f>AVERAGE(C23, D23)</f>
        <v/>
      </c>
      <c r="N23" s="47">
        <f>'Calculo RAs'!K20</f>
        <v/>
      </c>
      <c r="O23" s="18">
        <f>IF(N23&gt;=9, "SOBRESALIENTE", IF(N23&gt;=7, "NOTABLE", IF(N23&gt;=6, "BIEN", IF(N23&gt;=5, "SUFICIENTE", "INSUFICIENTE"))))</f>
        <v/>
      </c>
      <c r="P23" s="18">
        <f>IF(N23&gt;=5, "AUTORIZADO (DUAL)", "PENDIENTE RECUP.")</f>
        <v/>
      </c>
    </row>
    <row r="24" ht="24" customHeight="1">
      <c r="A24" s="37" t="inlineStr">
        <is>
          <t>PROMEDIO DEL GRUPO</t>
        </is>
      </c>
      <c r="B24" s="28" t="n"/>
      <c r="C24" s="38">
        <f>AVERAGE(C9:C23)</f>
        <v/>
      </c>
      <c r="D24" s="38">
        <f>AVERAGE(D9:D23)</f>
        <v/>
      </c>
      <c r="E24" s="38">
        <f>AVERAGE(E9:E23)</f>
        <v/>
      </c>
      <c r="F24" s="38">
        <f>AVERAGE(F9:F23)</f>
        <v/>
      </c>
      <c r="G24" s="38">
        <f>AVERAGE(G9:G23)</f>
        <v/>
      </c>
      <c r="H24" s="38">
        <f>AVERAGE(H9:H23)</f>
        <v/>
      </c>
      <c r="I24" s="38">
        <f>AVERAGE(I9:I23)</f>
        <v/>
      </c>
      <c r="J24" s="38">
        <f>AVERAGE(J9:J23)</f>
        <v/>
      </c>
      <c r="K24" s="38">
        <f>AVERAGE(K9:K23)</f>
        <v/>
      </c>
      <c r="L24" s="38">
        <f>AVERAGE(L9:L23)</f>
        <v/>
      </c>
      <c r="M24" s="38">
        <f>AVERAGE(M9:M23)</f>
        <v/>
      </c>
      <c r="N24" s="38">
        <f>AVERAGE(N9:N23)</f>
        <v/>
      </c>
      <c r="O24" s="56" t="inlineStr"/>
      <c r="P24" s="56" t="inlineStr"/>
    </row>
  </sheetData>
  <mergeCells count="13">
    <mergeCell ref="E4:F4"/>
    <mergeCell ref="A24:B24"/>
    <mergeCell ref="A1:P1"/>
    <mergeCell ref="B5:C6"/>
    <mergeCell ref="E5:F6"/>
    <mergeCell ref="K5:L6"/>
    <mergeCell ref="H4:I4"/>
    <mergeCell ref="H5:I6"/>
    <mergeCell ref="K4:L4"/>
    <mergeCell ref="N5:O6"/>
    <mergeCell ref="B4:C4"/>
    <mergeCell ref="N4:O4"/>
    <mergeCell ref="A2:P2"/>
  </mergeCells>
  <conditionalFormatting sqref="N9:N23">
    <cfRule type="cellIs" priority="1" operator="greaterThanOrEqual" dxfId="0" stopIfTrue="1">
      <formula>5.0</formula>
    </cfRule>
    <cfRule type="cellIs" priority="2" operator="lessThan" dxfId="1" stopIfTrue="1">
      <formula>5.0</formula>
    </cfRule>
  </conditionalFormatting>
  <conditionalFormatting sqref="P9:P23">
    <cfRule type="cellIs" priority="3" operator="equal" dxfId="0" stopIfTrue="1">
      <formula>"AUTORIZADO (DUAL)"</formula>
    </cfRule>
    <cfRule type="cellIs" priority="4" operator="equal" dxfId="1" stopIfTrue="1">
      <formula>"PENDIENTE RECUP."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22" customWidth="1" min="4" max="4"/>
    <col width="20" customWidth="1" min="5" max="5"/>
    <col width="14" customWidth="1" min="6" max="6"/>
    <col width="18" customWidth="1" min="7" max="7"/>
    <col width="18" customWidth="1" min="8" max="8"/>
    <col width="20" customWidth="1" min="9" max="9"/>
    <col width="20" customWidth="1" min="10" max="10"/>
  </cols>
  <sheetData>
    <row r="1" ht="36" customHeight="1">
      <c r="A1" s="1" t="inlineStr">
        <is>
          <t>FASE DE FORMACIÓN DUAL EN EMPRESA (T3 - 86 h) Y CONVOCATORIA EXTRAORDINARIA</t>
        </is>
      </c>
    </row>
    <row r="2" ht="20" customHeight="1">
      <c r="A2" s="2" t="inlineStr">
        <is>
          <t>Orden de 26 de septiembre de 2025 (Dual Andalucía) | Periodo en Empresa: Marzo a Junio 2026</t>
        </is>
      </c>
    </row>
    <row r="4" ht="38" customHeight="1">
      <c r="A4" s="29" t="inlineStr">
        <is>
          <t>Nº</t>
        </is>
      </c>
      <c r="B4" s="29" t="inlineStr">
        <is>
          <t>Apellidos, Nombre</t>
        </is>
      </c>
      <c r="C4" s="9" t="inlineStr">
        <is>
          <t>Nota Ordinaria
(Marzo)</t>
        </is>
      </c>
      <c r="D4" s="9" t="inlineStr">
        <is>
          <t>Empresa Asignada</t>
        </is>
      </c>
      <c r="E4" s="9" t="inlineStr">
        <is>
          <t>Tutor/a Laboral</t>
        </is>
      </c>
      <c r="F4" s="9" t="inlineStr">
        <is>
          <t>Horas Dual
(Módulo 86 h)</t>
        </is>
      </c>
      <c r="G4" s="9" t="inlineStr">
        <is>
          <t>Valoración Empresa
(Apto / No Apto)</t>
        </is>
      </c>
      <c r="H4" s="30" t="inlineStr">
        <is>
          <t>RAs Pendientes
(Extraordinaria)</t>
        </is>
      </c>
      <c r="I4" s="30" t="inlineStr">
        <is>
          <t>Nota Convocatoria
Extraordinaria (Junio)</t>
        </is>
      </c>
      <c r="J4" s="30" t="inlineStr">
        <is>
          <t>Calificación Definitiva
Curso Académico</t>
        </is>
      </c>
    </row>
    <row r="5" ht="20" customHeight="1">
      <c r="A5" s="21" t="n">
        <v>1</v>
      </c>
      <c r="B5" s="35" t="inlineStr">
        <is>
          <t>Álvarez Gómez, Laura</t>
        </is>
      </c>
      <c r="C5" s="45">
        <f>'Panel de Control'!N9</f>
        <v/>
      </c>
      <c r="D5" s="20" t="inlineStr">
        <is>
          <t>SoftAndalucía Dev Group</t>
        </is>
      </c>
      <c r="E5" s="20" t="inlineStr">
        <is>
          <t>Dra. Beatriz Cano</t>
        </is>
      </c>
      <c r="F5" s="21" t="n">
        <v>86</v>
      </c>
      <c r="G5" s="18">
        <f>IF(C5&gt;=5, "APTO", "PENDIENTE")</f>
        <v/>
      </c>
      <c r="H5" s="21">
        <f>IF(C5&lt;5, "RA1, RA3", "Ninguno")</f>
        <v/>
      </c>
      <c r="I5" s="36" t="inlineStr"/>
      <c r="J5" s="57">
        <f>IF(ISBLANK(I5), C5, MAX(C5, I5))</f>
        <v/>
      </c>
    </row>
    <row r="6" ht="20" customHeight="1">
      <c r="A6" s="13" t="n">
        <v>2</v>
      </c>
      <c r="B6" s="31" t="inlineStr">
        <is>
          <t>Benítez Romero, Carlos</t>
        </is>
      </c>
      <c r="C6" s="45">
        <f>'Panel de Control'!N10</f>
        <v/>
      </c>
      <c r="D6" s="12" t="inlineStr">
        <is>
          <t>Innovatech Solutions S.L.</t>
        </is>
      </c>
      <c r="E6" s="12" t="inlineStr">
        <is>
          <t>Ing. Manuel Rivas</t>
        </is>
      </c>
      <c r="F6" s="13" t="n">
        <v>86</v>
      </c>
      <c r="G6" s="10">
        <f>IF(C6&gt;=5, "APTO", "PENDIENTE")</f>
        <v/>
      </c>
      <c r="H6" s="13">
        <f>IF(C6&lt;5, "RA1, RA3", "Ninguno")</f>
        <v/>
      </c>
      <c r="I6" s="32" t="inlineStr"/>
      <c r="J6" s="57">
        <f>IF(ISBLANK(I6), C6, MAX(C6, I6))</f>
        <v/>
      </c>
    </row>
    <row r="7" ht="20" customHeight="1">
      <c r="A7" s="21" t="n">
        <v>3</v>
      </c>
      <c r="B7" s="35" t="inlineStr">
        <is>
          <t>Castillo Morales, Elena</t>
        </is>
      </c>
      <c r="C7" s="45">
        <f>'Panel de Control'!N11</f>
        <v/>
      </c>
      <c r="D7" s="20" t="inlineStr">
        <is>
          <t>SoftAndalucía Dev Group</t>
        </is>
      </c>
      <c r="E7" s="20" t="inlineStr">
        <is>
          <t>Dra. Beatriz Cano</t>
        </is>
      </c>
      <c r="F7" s="21" t="n">
        <v>86</v>
      </c>
      <c r="G7" s="18">
        <f>IF(C7&gt;=5, "APTO", "PENDIENTE")</f>
        <v/>
      </c>
      <c r="H7" s="21">
        <f>IF(C7&lt;5, "RA1, RA3", "Ninguno")</f>
        <v/>
      </c>
      <c r="I7" s="36" t="inlineStr"/>
      <c r="J7" s="57">
        <f>IF(ISBLANK(I7), C7, MAX(C7, I7))</f>
        <v/>
      </c>
    </row>
    <row r="8" ht="20" customHeight="1">
      <c r="A8" s="13" t="n">
        <v>4</v>
      </c>
      <c r="B8" s="31" t="inlineStr">
        <is>
          <t>Delgado Santos, Alejandro</t>
        </is>
      </c>
      <c r="C8" s="45">
        <f>'Panel de Control'!N12</f>
        <v/>
      </c>
      <c r="D8" s="12" t="inlineStr">
        <is>
          <t>Innovatech Solutions S.L.</t>
        </is>
      </c>
      <c r="E8" s="12" t="inlineStr">
        <is>
          <t>Ing. Manuel Rivas</t>
        </is>
      </c>
      <c r="F8" s="13" t="n">
        <v>86</v>
      </c>
      <c r="G8" s="10">
        <f>IF(C8&gt;=5, "APTO", "PENDIENTE")</f>
        <v/>
      </c>
      <c r="H8" s="13">
        <f>IF(C8&lt;5, "RA1, RA3", "Ninguno")</f>
        <v/>
      </c>
      <c r="I8" s="32" t="inlineStr"/>
      <c r="J8" s="57">
        <f>IF(ISBLANK(I8), C8, MAX(C8, I8))</f>
        <v/>
      </c>
    </row>
    <row r="9" ht="20" customHeight="1">
      <c r="A9" s="21" t="n">
        <v>5</v>
      </c>
      <c r="B9" s="35" t="inlineStr">
        <is>
          <t>Fernández Navarro, Lucía</t>
        </is>
      </c>
      <c r="C9" s="45">
        <f>'Panel de Control'!N13</f>
        <v/>
      </c>
      <c r="D9" s="20" t="inlineStr">
        <is>
          <t>SoftAndalucía Dev Group</t>
        </is>
      </c>
      <c r="E9" s="20" t="inlineStr">
        <is>
          <t>Dra. Beatriz Cano</t>
        </is>
      </c>
      <c r="F9" s="21" t="n">
        <v>86</v>
      </c>
      <c r="G9" s="18">
        <f>IF(C9&gt;=5, "APTO", "PENDIENTE")</f>
        <v/>
      </c>
      <c r="H9" s="21">
        <f>IF(C9&lt;5, "RA1, RA3", "Ninguno")</f>
        <v/>
      </c>
      <c r="I9" s="36" t="inlineStr"/>
      <c r="J9" s="57">
        <f>IF(ISBLANK(I9), C9, MAX(C9, I9))</f>
        <v/>
      </c>
    </row>
    <row r="10" ht="20" customHeight="1">
      <c r="A10" s="13" t="n">
        <v>6</v>
      </c>
      <c r="B10" s="31" t="inlineStr">
        <is>
          <t>García Serrano, David</t>
        </is>
      </c>
      <c r="C10" s="45">
        <f>'Panel de Control'!N14</f>
        <v/>
      </c>
      <c r="D10" s="12" t="inlineStr">
        <is>
          <t>Innovatech Solutions S.L.</t>
        </is>
      </c>
      <c r="E10" s="12" t="inlineStr">
        <is>
          <t>Ing. Manuel Rivas</t>
        </is>
      </c>
      <c r="F10" s="13" t="n">
        <v>86</v>
      </c>
      <c r="G10" s="10">
        <f>IF(C10&gt;=5, "APTO", "PENDIENTE")</f>
        <v/>
      </c>
      <c r="H10" s="13">
        <f>IF(C10&lt;5, "RA1, RA3", "Ninguno")</f>
        <v/>
      </c>
      <c r="I10" s="32" t="inlineStr"/>
      <c r="J10" s="57">
        <f>IF(ISBLANK(I10), C10, MAX(C10, I10))</f>
        <v/>
      </c>
    </row>
    <row r="11" ht="20" customHeight="1">
      <c r="A11" s="21" t="n">
        <v>7</v>
      </c>
      <c r="B11" s="35" t="inlineStr">
        <is>
          <t>Herrera Cruz, Marta</t>
        </is>
      </c>
      <c r="C11" s="45">
        <f>'Panel de Control'!N15</f>
        <v/>
      </c>
      <c r="D11" s="20" t="inlineStr">
        <is>
          <t>SoftAndalucía Dev Group</t>
        </is>
      </c>
      <c r="E11" s="20" t="inlineStr">
        <is>
          <t>Dra. Beatriz Cano</t>
        </is>
      </c>
      <c r="F11" s="21" t="n">
        <v>86</v>
      </c>
      <c r="G11" s="18">
        <f>IF(C11&gt;=5, "APTO", "PENDIENTE")</f>
        <v/>
      </c>
      <c r="H11" s="21">
        <f>IF(C11&lt;5, "RA1, RA3", "Ninguno")</f>
        <v/>
      </c>
      <c r="I11" s="36" t="inlineStr"/>
      <c r="J11" s="57">
        <f>IF(ISBLANK(I11), C11, MAX(C11, I11))</f>
        <v/>
      </c>
    </row>
    <row r="12" ht="20" customHeight="1">
      <c r="A12" s="13" t="n">
        <v>8</v>
      </c>
      <c r="B12" s="31" t="inlineStr">
        <is>
          <t>Jiménez Ortiz, Pablo</t>
        </is>
      </c>
      <c r="C12" s="45">
        <f>'Panel de Control'!N16</f>
        <v/>
      </c>
      <c r="D12" s="12" t="inlineStr">
        <is>
          <t>Innovatech Solutions S.L.</t>
        </is>
      </c>
      <c r="E12" s="12" t="inlineStr">
        <is>
          <t>Ing. Manuel Rivas</t>
        </is>
      </c>
      <c r="F12" s="13" t="n">
        <v>86</v>
      </c>
      <c r="G12" s="10">
        <f>IF(C12&gt;=5, "APTO", "PENDIENTE")</f>
        <v/>
      </c>
      <c r="H12" s="13">
        <f>IF(C12&lt;5, "RA1, RA3", "Ninguno")</f>
        <v/>
      </c>
      <c r="I12" s="32" t="inlineStr"/>
      <c r="J12" s="57">
        <f>IF(ISBLANK(I12), C12, MAX(C12, I12))</f>
        <v/>
      </c>
    </row>
    <row r="13" ht="20" customHeight="1">
      <c r="A13" s="21" t="n">
        <v>9</v>
      </c>
      <c r="B13" s="35" t="inlineStr">
        <is>
          <t>López Molina, Sara</t>
        </is>
      </c>
      <c r="C13" s="45">
        <f>'Panel de Control'!N17</f>
        <v/>
      </c>
      <c r="D13" s="20" t="inlineStr">
        <is>
          <t>SoftAndalucía Dev Group</t>
        </is>
      </c>
      <c r="E13" s="20" t="inlineStr">
        <is>
          <t>Dra. Beatriz Cano</t>
        </is>
      </c>
      <c r="F13" s="21" t="n">
        <v>86</v>
      </c>
      <c r="G13" s="18">
        <f>IF(C13&gt;=5, "APTO", "PENDIENTE")</f>
        <v/>
      </c>
      <c r="H13" s="21">
        <f>IF(C13&lt;5, "RA1, RA3", "Ninguno")</f>
        <v/>
      </c>
      <c r="I13" s="36" t="inlineStr"/>
      <c r="J13" s="57">
        <f>IF(ISBLANK(I13), C13, MAX(C13, I13))</f>
        <v/>
      </c>
    </row>
    <row r="14" ht="20" customHeight="1">
      <c r="A14" s="13" t="n">
        <v>10</v>
      </c>
      <c r="B14" s="31" t="inlineStr">
        <is>
          <t>Martín Vega, Javier</t>
        </is>
      </c>
      <c r="C14" s="45">
        <f>'Panel de Control'!N18</f>
        <v/>
      </c>
      <c r="D14" s="12" t="inlineStr">
        <is>
          <t>Innovatech Solutions S.L.</t>
        </is>
      </c>
      <c r="E14" s="12" t="inlineStr">
        <is>
          <t>Ing. Manuel Rivas</t>
        </is>
      </c>
      <c r="F14" s="13" t="n">
        <v>86</v>
      </c>
      <c r="G14" s="10">
        <f>IF(C14&gt;=5, "APTO", "PENDIENTE")</f>
        <v/>
      </c>
      <c r="H14" s="13">
        <f>IF(C14&lt;5, "RA1, RA3", "Ninguno")</f>
        <v/>
      </c>
      <c r="I14" s="32" t="inlineStr"/>
      <c r="J14" s="57">
        <f>IF(ISBLANK(I14), C14, MAX(C14, I14))</f>
        <v/>
      </c>
    </row>
    <row r="15" ht="20" customHeight="1">
      <c r="A15" s="21" t="n">
        <v>11</v>
      </c>
      <c r="B15" s="35" t="inlineStr">
        <is>
          <t>Navarro Gil, Ana</t>
        </is>
      </c>
      <c r="C15" s="45">
        <f>'Panel de Control'!N19</f>
        <v/>
      </c>
      <c r="D15" s="20" t="inlineStr">
        <is>
          <t>SoftAndalucía Dev Group</t>
        </is>
      </c>
      <c r="E15" s="20" t="inlineStr">
        <is>
          <t>Dra. Beatriz Cano</t>
        </is>
      </c>
      <c r="F15" s="21" t="n">
        <v>86</v>
      </c>
      <c r="G15" s="18">
        <f>IF(C15&gt;=5, "APTO", "PENDIENTE")</f>
        <v/>
      </c>
      <c r="H15" s="21">
        <f>IF(C15&lt;5, "RA1, RA3", "Ninguno")</f>
        <v/>
      </c>
      <c r="I15" s="36" t="inlineStr"/>
      <c r="J15" s="57">
        <f>IF(ISBLANK(I15), C15, MAX(C15, I15))</f>
        <v/>
      </c>
    </row>
    <row r="16" ht="20" customHeight="1">
      <c r="A16" s="13" t="n">
        <v>12</v>
      </c>
      <c r="B16" s="31" t="inlineStr">
        <is>
          <t>Pérez Rubio, Álvaro</t>
        </is>
      </c>
      <c r="C16" s="45">
        <f>'Panel de Control'!N20</f>
        <v/>
      </c>
      <c r="D16" s="12" t="inlineStr">
        <is>
          <t>Innovatech Solutions S.L.</t>
        </is>
      </c>
      <c r="E16" s="12" t="inlineStr">
        <is>
          <t>Ing. Manuel Rivas</t>
        </is>
      </c>
      <c r="F16" s="13" t="n">
        <v>86</v>
      </c>
      <c r="G16" s="10">
        <f>IF(C16&gt;=5, "APTO", "PENDIENTE")</f>
        <v/>
      </c>
      <c r="H16" s="13">
        <f>IF(C16&lt;5, "RA1, RA3", "Ninguno")</f>
        <v/>
      </c>
      <c r="I16" s="32" t="inlineStr"/>
      <c r="J16" s="57">
        <f>IF(ISBLANK(I16), C16, MAX(C16, I16))</f>
        <v/>
      </c>
    </row>
    <row r="17" ht="20" customHeight="1">
      <c r="A17" s="21" t="n">
        <v>13</v>
      </c>
      <c r="B17" s="35" t="inlineStr">
        <is>
          <t>Ramírez Soto, Carmen</t>
        </is>
      </c>
      <c r="C17" s="45">
        <f>'Panel de Control'!N21</f>
        <v/>
      </c>
      <c r="D17" s="20" t="inlineStr">
        <is>
          <t>SoftAndalucía Dev Group</t>
        </is>
      </c>
      <c r="E17" s="20" t="inlineStr">
        <is>
          <t>Dra. Beatriz Cano</t>
        </is>
      </c>
      <c r="F17" s="21" t="n">
        <v>86</v>
      </c>
      <c r="G17" s="18">
        <f>IF(C17&gt;=5, "APTO", "PENDIENTE")</f>
        <v/>
      </c>
      <c r="H17" s="21">
        <f>IF(C17&lt;5, "RA1, RA3", "Ninguno")</f>
        <v/>
      </c>
      <c r="I17" s="36" t="inlineStr"/>
      <c r="J17" s="57">
        <f>IF(ISBLANK(I17), C17, MAX(C17, I17))</f>
        <v/>
      </c>
    </row>
    <row r="18" ht="20" customHeight="1">
      <c r="A18" s="13" t="n">
        <v>14</v>
      </c>
      <c r="B18" s="31" t="inlineStr">
        <is>
          <t>Sánchez Vidal, Daniel</t>
        </is>
      </c>
      <c r="C18" s="45">
        <f>'Panel de Control'!N22</f>
        <v/>
      </c>
      <c r="D18" s="12" t="inlineStr">
        <is>
          <t>Innovatech Solutions S.L.</t>
        </is>
      </c>
      <c r="E18" s="12" t="inlineStr">
        <is>
          <t>Ing. Manuel Rivas</t>
        </is>
      </c>
      <c r="F18" s="13" t="n">
        <v>86</v>
      </c>
      <c r="G18" s="10">
        <f>IF(C18&gt;=5, "APTO", "PENDIENTE")</f>
        <v/>
      </c>
      <c r="H18" s="13">
        <f>IF(C18&lt;5, "RA1, RA3", "Ninguno")</f>
        <v/>
      </c>
      <c r="I18" s="32" t="inlineStr"/>
      <c r="J18" s="57">
        <f>IF(ISBLANK(I18), C18, MAX(C18, I18))</f>
        <v/>
      </c>
    </row>
    <row r="19" ht="20" customHeight="1">
      <c r="A19" s="21" t="n">
        <v>15</v>
      </c>
      <c r="B19" s="35" t="inlineStr">
        <is>
          <t>Torres Lozano, Irene</t>
        </is>
      </c>
      <c r="C19" s="45">
        <f>'Panel de Control'!N23</f>
        <v/>
      </c>
      <c r="D19" s="20" t="inlineStr">
        <is>
          <t>SoftAndalucía Dev Group</t>
        </is>
      </c>
      <c r="E19" s="20" t="inlineStr">
        <is>
          <t>Dra. Beatriz Cano</t>
        </is>
      </c>
      <c r="F19" s="21" t="n">
        <v>86</v>
      </c>
      <c r="G19" s="18">
        <f>IF(C19&gt;=5, "APTO", "PENDIENTE")</f>
        <v/>
      </c>
      <c r="H19" s="21">
        <f>IF(C19&lt;5, "RA1, RA3", "Ninguno")</f>
        <v/>
      </c>
      <c r="I19" s="36" t="inlineStr"/>
      <c r="J19" s="57">
        <f>IF(ISBLANK(I19), C19, MAX(C19, I19))</f>
        <v/>
      </c>
    </row>
  </sheetData>
  <mergeCells count="2">
    <mergeCell ref="A1:J1"/>
    <mergeCell ref="A2:J2"/>
  </mergeCells>
  <conditionalFormatting sqref="J5:J19">
    <cfRule type="cellIs" priority="1" operator="greaterThanOrEqual" dxfId="0" stopIfTrue="1">
      <formula>5.0</formula>
    </cfRule>
    <cfRule type="cellIs" priority="2" operator="lessThan" dxfId="1" stopIfTrue="1">
      <formula>5.0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GUÍA DE USO Y ARQUITECTURA DEL SISTEMA DE EVALUACIÓN</t>
        </is>
      </c>
    </row>
    <row r="3" ht="26" customHeight="1">
      <c r="B3" s="58" t="inlineStr">
        <is>
          <t>1. Filosofía y Funcionamiento Dinámico</t>
        </is>
      </c>
    </row>
    <row r="4" ht="72" customHeight="1">
      <c r="B4" s="59" t="inlineStr">
        <is>
          <t>Esta hoja de cálculo implementa un motor de evaluación competencial bidireccional completamente automatizado:
• La 'Matriz Criterios' contiene los 40 Criterios de Evaluación oficiales agrupados en los 8 Resultados de Aprendizaje.
• En cualquier momento del curso puedes marcar o desmarcar con una 'X' qué criterios evalúa cada tarea o examen.
• El motor recalcula en tiempo real las notas individuales de cada criterio, el avance de cada RA y la nota de trimestre.</t>
        </is>
      </c>
    </row>
    <row r="6" ht="26" customHeight="1">
      <c r="B6" s="58" t="inlineStr">
        <is>
          <t>2. Flujo de Trabajo para el Docente</t>
        </is>
      </c>
    </row>
    <row r="7" ht="198" customHeight="1">
      <c r="B7" s="59" t="inlineStr">
        <is>
          <t>PASO 1: Configurar la Matriz Criterios
Revisa las columnas H a V (tareas T01 a T15). Coloca una 'X' en la fila del criterio que evalúe dicha tarea.
La fila 46 te indica cuántos criterios evalúa cada tarea, y la fila 47 te permite ajustar el peso de la tarea en el trimestre.
PASO 2: Introducir Calificaciones en 'Registro Notas'
Introduce las notas (0.00 a 10.00) obtenidas por los alumnos en cada tarea (columnas D a R).
Las notas de 1º y 2º Trimestre se calculan automáticamente en las columnas S y T.
PASO 3: Supervisar el 'Panel de Control'
Observa las tarjetas de KPIs (Alumnos, Aprobados, Suspensos, Nota Media, Tasa de Éxito) y la tabla consolidada
con la calificación oficial en marzo y la autorización automática para la estancia Dual en empresa.</t>
        </is>
      </c>
    </row>
    <row r="9" ht="26" customHeight="1">
      <c r="B9" s="58" t="inlineStr">
        <is>
          <t>3. Robustez Matemática (Sin Ceros Prematuros)</t>
        </is>
      </c>
    </row>
    <row r="10" ht="72" customHeight="1">
      <c r="B10" s="59" t="inlineStr">
        <is>
          <t>La fórmula implementada en cada criterio utiliza la función ISNUMBER combinada con SUMPRODUCT:
Solo se promedian aquellas tareas que tienen una 'X' Y QUE ADEMÁS TIENEN NOTA INTRODUCIDA.
Esto evita que un alumno aparezca con una nota suspensa en un criterio a principio de curso simplemente
porque las tareas del segundo trimestre todavía no se han impartido o calificado.</t>
        </is>
      </c>
    </row>
    <row r="12" ht="26" customHeight="1">
      <c r="B12" s="58" t="inlineStr">
        <is>
          <t>4. Marco Normativo Integrado</t>
        </is>
      </c>
    </row>
    <row r="13" ht="90" customHeight="1">
      <c r="B13" s="59" t="inlineStr">
        <is>
          <t>• Ley Orgánica 3/2022 y Real Decreto 659/2023 (Ordenación del Sistema de Formación Profesional).
• Real Decreto 405/2023 y Real Decreto 500/2024 (Currículo oficial y competencias de DAM).
• Decreto 104/2024 (Ordenación de FP en Andalucía, derogando el Decreto 436/2008).
• Orden de 18 de septiembre de 2025 (Evaluación y acreditación del alumnado de FP en Andalucía).
• Orden de 26 de septiembre de 2025 (Regulación de la formación dual y estancias en empresa en Andalucía).</t>
        </is>
      </c>
    </row>
  </sheetData>
  <mergeCells count="9">
    <mergeCell ref="B3:G3"/>
    <mergeCell ref="B10:G10"/>
    <mergeCell ref="A1:G1"/>
    <mergeCell ref="B9:G9"/>
    <mergeCell ref="B4:G4"/>
    <mergeCell ref="B12:G12"/>
    <mergeCell ref="B13:G13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2026-10-04T15:19:41Z</dcterms:created>
  <dcterms:modified xmlns:dcterms="http://purl.org/dc/terms/" xmlns:xsi="http://www.w3.org/2001/XMLSchema-instance" xsi:type="dcterms:W3CDTF">2026-10-04T15:19:41Z</dcterms:modified>
</cp:coreProperties>
</file>